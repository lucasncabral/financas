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âmetros" sheetId="1" r:id="rId4"/>
    <sheet state="visible" name="Resumo" sheetId="2" r:id="rId5"/>
    <sheet state="visible" name="Projeção" sheetId="3" r:id="rId6"/>
  </sheets>
  <definedNames/>
  <calcPr/>
  <extLst>
    <ext uri="GoogleSheetsCustomDataVersion2">
      <go:sheetsCustomData xmlns:go="http://customooxmlschemas.google.com/" r:id="rId7" roundtripDataChecksum="NFxCgkongiR+4EDik8lM+5shzO8R1FDmwTyfJ2z1agw="/>
    </ext>
  </extLst>
</workbook>
</file>

<file path=xl/sharedStrings.xml><?xml version="1.0" encoding="utf-8"?>
<sst xmlns="http://schemas.openxmlformats.org/spreadsheetml/2006/main" count="55" uniqueCount="50">
  <si>
    <t>Parâmetros da Simulação — Aportes Mensais</t>
  </si>
  <si>
    <t>Insira os valores em azul (fundo amarelo). As demais células são calculadas automaticamente.</t>
  </si>
  <si>
    <t>Parâmetro</t>
  </si>
  <si>
    <t>Valor</t>
  </si>
  <si>
    <t>Observação</t>
  </si>
  <si>
    <t>Aporte inicial (mês 1)</t>
  </si>
  <si>
    <t>R$ investido no primeiro mês</t>
  </si>
  <si>
    <t>Meta (valor a atingir)</t>
  </si>
  <si>
    <t>Objetivo em reais</t>
  </si>
  <si>
    <t>Rentabilidade anual</t>
  </si>
  <si>
    <t>Retorno do investimento ao ano</t>
  </si>
  <si>
    <t>Inflação anual</t>
  </si>
  <si>
    <t>Inflação (IPCA ou proxy) esperada ao ano</t>
  </si>
  <si>
    <t>Cresc. real do aporte (anual)</t>
  </si>
  <si>
    <t>Reajuste do aporte ACIMA da inflação</t>
  </si>
  <si>
    <t>Taxas mensais equivalentes (calculadas)</t>
  </si>
  <si>
    <t>Rentab. mensal</t>
  </si>
  <si>
    <t>(1+anual)^(1/12)-1</t>
  </si>
  <si>
    <t>Infl. mensal</t>
  </si>
  <si>
    <t>Cresc. mensal (real aporte)</t>
  </si>
  <si>
    <t>Cresc. nominal aporte (mensal)</t>
  </si>
  <si>
    <t>((1+infl_anual)*(1+cresc_real_anual))^(1/12)-1</t>
  </si>
  <si>
    <t>Resumo — Quando Chego a R$ 1.000.000?</t>
  </si>
  <si>
    <t>Cálculos baseados na aba 'Projeção' (480 meses = 40 anos simulados, usando os aportes REALIZADOS).</t>
  </si>
  <si>
    <t>① Considerando o SALDO NOMINAL (sem descontar inflação)</t>
  </si>
  <si>
    <t>Mês em que o saldo atinge a meta</t>
  </si>
  <si>
    <t>Tempo (anos e meses)</t>
  </si>
  <si>
    <t>Saldo nominal nesse mês (R$)</t>
  </si>
  <si>
    <t>Aporte realizado nesse mês (R$)</t>
  </si>
  <si>
    <t>② Considerando o VALOR DE HOJE (poder de compra, descontada a inflação)</t>
  </si>
  <si>
    <t>Mês em que o saldo (real) atinge a meta</t>
  </si>
  <si>
    <t>Saldo NOMINAL nesse mês (R$)</t>
  </si>
  <si>
    <t>Saldo a valor de hoje nesse mês (R$)</t>
  </si>
  <si>
    <t>Nota: 'valor de hoje' = saldo nominal dividido pela inflação acumulada — ou seja, o poder de compra equivalente em reais de hoje.</t>
  </si>
  <si>
    <t>Esses resultados usam os aportes REALIZADOS (coluna D da Projeção). Se você não editar nada, Realizado = Projetado e os números batem com o cenário original.</t>
  </si>
  <si>
    <t>A simulação cobre 480 meses (40 anos). Se aparecer 'Não atingido em 40 anos', abra a aba Projeção e arraste as fórmulas para mais linhas.</t>
  </si>
  <si>
    <t>Mês</t>
  </si>
  <si>
    <t>Ano</t>
  </si>
  <si>
    <t>Aporte Projetado (R$)</t>
  </si>
  <si>
    <t>Aporte Realizado (R$)</t>
  </si>
  <si>
    <t>Saldo dia do Aporte - 12 (R$)</t>
  </si>
  <si>
    <t>Rendimento do Mês (R$)</t>
  </si>
  <si>
    <t>Saldo Final Nominal (R$)</t>
  </si>
  <si>
    <t>Saldo Final a Valor de 2026 (R$)</t>
  </si>
  <si>
    <t>% da Meta</t>
  </si>
  <si>
    <t>Aporte Acumulado (R$)</t>
  </si>
  <si>
    <t>Juros Acumulado (R$)</t>
  </si>
  <si>
    <t>Saldo Nominal Visualizado (R$)</t>
  </si>
  <si>
    <t>Rendimento Visualizado (R$)</t>
  </si>
  <si>
    <t>2032 IPCA + 8.08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</si>
</sst>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dd/mm/yyyy"/>
  </numFmts>
  <fonts count="17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i/>
      <sz val="8.0"/>
      <color rgb="FF808080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rgb="FF0000FF"/>
      <name val="Arial"/>
    </font>
    <font>
      <b/>
      <sz val="10.0"/>
      <color theme="1"/>
      <name val="Arial"/>
    </font>
    <font>
      <sz val="10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3.0"/>
      <color rgb="FF1F4E78"/>
      <name val="Arial"/>
    </font>
    <font>
      <sz val="11.0"/>
      <color rgb="FF000000"/>
      <name val="Arial"/>
    </font>
    <font>
      <sz val="10.0"/>
      <color rgb="FFFFFFFF"/>
      <name val="Arial"/>
    </font>
    <font>
      <color theme="1"/>
      <name val="Calibri"/>
      <scheme val="minor"/>
    </font>
    <font>
      <sz val="10.0"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FFF00"/>
        <bgColor rgb="FFFFFF00"/>
      </patternFill>
    </fill>
    <fill>
      <patternFill patternType="solid">
        <fgColor rgb="FFEAF1F8"/>
        <bgColor rgb="FFEAF1F8"/>
      </patternFill>
    </fill>
    <fill>
      <patternFill patternType="solid">
        <fgColor rgb="FFE2EFDA"/>
        <bgColor rgb="FFE2EFDA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4" fillId="3" fontId="5" numFmtId="0" xfId="0" applyAlignment="1" applyBorder="1" applyFill="1" applyFont="1">
      <alignment horizontal="left" shrinkToFit="0" vertical="bottom" wrapText="0"/>
    </xf>
    <xf borderId="4" fillId="3" fontId="5" numFmtId="0" xfId="0" applyAlignment="1" applyBorder="1" applyFont="1">
      <alignment horizontal="center" shrinkToFit="0" vertical="bottom" wrapText="0"/>
    </xf>
    <xf borderId="4" fillId="3" fontId="5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5" fillId="4" fontId="7" numFmtId="4" xfId="0" applyAlignment="1" applyBorder="1" applyFill="1" applyFont="1" applyNumberFormat="1">
      <alignment horizontal="center" shrinkToFit="0" vertical="bottom" wrapText="0"/>
    </xf>
    <xf borderId="5" fillId="4" fontId="7" numFmtId="3" xfId="0" applyAlignment="1" applyBorder="1" applyFont="1" applyNumberFormat="1">
      <alignment horizontal="center" shrinkToFit="0" vertical="bottom" wrapText="0"/>
    </xf>
    <xf borderId="5" fillId="4" fontId="7" numFmtId="10" xfId="0" applyAlignment="1" applyBorder="1" applyFont="1" applyNumberForma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5" fillId="0" fontId="9" numFmtId="10" xfId="0" applyAlignment="1" applyBorder="1" applyFont="1" applyNumberFormat="1">
      <alignment horizontal="center" shrinkToFit="0" vertical="bottom" wrapText="0"/>
    </xf>
    <xf borderId="0" fillId="0" fontId="10" numFmtId="0" xfId="0" applyAlignment="1" applyFont="1">
      <alignment shrinkToFit="0" vertical="bottom" wrapText="0"/>
    </xf>
    <xf borderId="5" fillId="5" fontId="11" numFmtId="0" xfId="0" applyAlignment="1" applyBorder="1" applyFill="1" applyFont="1">
      <alignment shrinkToFit="0" vertical="bottom" wrapText="0"/>
    </xf>
    <xf borderId="5" fillId="6" fontId="12" numFmtId="0" xfId="0" applyAlignment="1" applyBorder="1" applyFill="1" applyFont="1">
      <alignment shrinkToFit="0" vertical="bottom" wrapText="0"/>
    </xf>
    <xf borderId="5" fillId="6" fontId="13" numFmtId="0" xfId="0" applyAlignment="1" applyBorder="1" applyFont="1">
      <alignment shrinkToFit="0" vertical="bottom" wrapText="0"/>
    </xf>
    <xf borderId="5" fillId="5" fontId="13" numFmtId="4" xfId="0" applyAlignment="1" applyBorder="1" applyFont="1" applyNumberFormat="1">
      <alignment shrinkToFit="0" vertical="bottom" wrapText="0"/>
    </xf>
    <xf borderId="4" fillId="2" fontId="14" numFmtId="0" xfId="0" applyAlignment="1" applyBorder="1" applyFont="1">
      <alignment horizontal="center" shrinkToFit="0" vertical="center" wrapText="1"/>
    </xf>
    <xf borderId="4" fillId="2" fontId="14" numFmtId="0" xfId="0" applyAlignment="1" applyBorder="1" applyFont="1">
      <alignment horizontal="center" readingOrder="0" shrinkToFit="0" vertical="center" wrapText="1"/>
    </xf>
    <xf borderId="6" fillId="0" fontId="9" numFmtId="1" xfId="0" applyAlignment="1" applyBorder="1" applyFont="1" applyNumberFormat="1">
      <alignment horizontal="center" shrinkToFit="0" vertical="bottom" wrapText="0"/>
    </xf>
    <xf borderId="6" fillId="0" fontId="9" numFmtId="4" xfId="0" applyAlignment="1" applyBorder="1" applyFont="1" applyNumberFormat="1">
      <alignment horizontal="center" shrinkToFit="0" vertical="bottom" wrapText="0"/>
    </xf>
    <xf borderId="6" fillId="7" fontId="9" numFmtId="4" xfId="0" applyAlignment="1" applyBorder="1" applyFill="1" applyFont="1" applyNumberFormat="1">
      <alignment horizontal="center" readingOrder="0" shrinkToFit="0" vertical="bottom" wrapText="0"/>
    </xf>
    <xf borderId="6" fillId="0" fontId="9" numFmtId="164" xfId="0" applyAlignment="1" applyBorder="1" applyFont="1" applyNumberFormat="1">
      <alignment horizontal="center" shrinkToFit="0" vertical="bottom" wrapText="0"/>
    </xf>
    <xf borderId="6" fillId="7" fontId="6" numFmtId="4" xfId="0" applyAlignment="1" applyBorder="1" applyFont="1" applyNumberFormat="1">
      <alignment horizontal="center" readingOrder="0" shrinkToFit="0" vertical="bottom" wrapText="0"/>
    </xf>
    <xf borderId="0" fillId="0" fontId="15" numFmtId="165" xfId="0" applyAlignment="1" applyFont="1" applyNumberFormat="1">
      <alignment horizontal="left" readingOrder="0"/>
    </xf>
    <xf borderId="0" fillId="0" fontId="15" numFmtId="0" xfId="0" applyAlignment="1" applyFont="1">
      <alignment horizontal="left" readingOrder="0"/>
    </xf>
    <xf borderId="6" fillId="0" fontId="16" numFmtId="4" xfId="0" applyAlignment="1" applyBorder="1" applyFont="1" applyNumberFormat="1">
      <alignment horizontal="center" shrinkToFit="0" vertical="bottom" wrapText="0"/>
    </xf>
    <xf borderId="6" fillId="8" fontId="9" numFmtId="1" xfId="0" applyAlignment="1" applyBorder="1" applyFill="1" applyFont="1" applyNumberFormat="1">
      <alignment horizontal="center" shrinkToFit="0" vertical="bottom" wrapText="0"/>
    </xf>
    <xf borderId="6" fillId="8" fontId="9" numFmtId="4" xfId="0" applyAlignment="1" applyBorder="1" applyFont="1" applyNumberFormat="1">
      <alignment horizontal="center" shrinkToFit="0" vertical="bottom" wrapText="0"/>
    </xf>
    <xf borderId="6" fillId="8" fontId="16" numFmtId="4" xfId="0" applyAlignment="1" applyBorder="1" applyFont="1" applyNumberFormat="1">
      <alignment horizontal="center" shrinkToFit="0" vertical="bottom" wrapText="0"/>
    </xf>
    <xf borderId="6" fillId="8" fontId="9" numFmtId="164" xfId="0" applyAlignment="1" applyBorder="1" applyFont="1" applyNumberFormat="1">
      <alignment horizontal="center" shrinkToFit="0" vertical="bottom" wrapText="0"/>
    </xf>
    <xf borderId="0" fillId="0" fontId="15" numFmtId="165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9" numFmtId="1" xfId="0" applyAlignment="1" applyFont="1" applyNumberFormat="1">
      <alignment horizontal="center" shrinkToFit="0" vertical="bottom" wrapText="0"/>
    </xf>
    <xf borderId="0" fillId="0" fontId="9" numFmtId="4" xfId="0" applyAlignment="1" applyFont="1" applyNumberFormat="1">
      <alignment horizontal="center" shrinkToFit="0" vertical="bottom" wrapText="0"/>
    </xf>
    <xf borderId="0" fillId="0" fontId="16" numFmtId="4" xfId="0" applyAlignment="1" applyFont="1" applyNumberFormat="1">
      <alignment horizontal="center" shrinkToFit="0" vertical="bottom" wrapText="0"/>
    </xf>
    <xf borderId="0" fillId="0" fontId="9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4.0"/>
    <col customWidth="1" min="2" max="2" width="16.0"/>
    <col customWidth="1" min="3" max="3" width="3.0"/>
    <col customWidth="1" min="4" max="4" width="46.0"/>
    <col customWidth="1" min="5" max="5" width="14.0"/>
    <col customWidth="1" min="6" max="26" width="8.71"/>
  </cols>
  <sheetData>
    <row r="1" ht="24.0" customHeight="1">
      <c r="A1" s="1" t="s">
        <v>0</v>
      </c>
      <c r="B1" s="2"/>
      <c r="C1" s="2"/>
      <c r="D1" s="3"/>
      <c r="E1" s="4"/>
    </row>
    <row r="2">
      <c r="A2" s="4"/>
      <c r="B2" s="4"/>
      <c r="C2" s="4"/>
      <c r="D2" s="4"/>
      <c r="E2" s="4"/>
    </row>
    <row r="3" ht="15.0" customHeight="1">
      <c r="A3" s="5" t="s">
        <v>1</v>
      </c>
      <c r="E3" s="4"/>
    </row>
    <row r="4">
      <c r="A4" s="4"/>
      <c r="B4" s="4"/>
      <c r="C4" s="4"/>
      <c r="D4" s="4"/>
      <c r="E4" s="4"/>
    </row>
    <row r="5" ht="15.0" customHeight="1">
      <c r="A5" s="6" t="s">
        <v>2</v>
      </c>
      <c r="B5" s="7" t="s">
        <v>3</v>
      </c>
      <c r="C5" s="4"/>
      <c r="D5" s="8" t="s">
        <v>4</v>
      </c>
      <c r="E5" s="4"/>
    </row>
    <row r="6" ht="15.0" customHeight="1">
      <c r="A6" s="9" t="s">
        <v>5</v>
      </c>
      <c r="B6" s="10">
        <v>500.0</v>
      </c>
      <c r="C6" s="4"/>
      <c r="D6" s="5" t="s">
        <v>6</v>
      </c>
      <c r="E6" s="4"/>
    </row>
    <row r="7" ht="15.0" customHeight="1">
      <c r="A7" s="9" t="s">
        <v>7</v>
      </c>
      <c r="B7" s="11">
        <v>1000000.0</v>
      </c>
      <c r="C7" s="4"/>
      <c r="D7" s="5" t="s">
        <v>8</v>
      </c>
      <c r="E7" s="4"/>
    </row>
    <row r="8" ht="15.0" customHeight="1">
      <c r="A8" s="9" t="s">
        <v>9</v>
      </c>
      <c r="B8" s="12">
        <v>0.1</v>
      </c>
      <c r="C8" s="4"/>
      <c r="D8" s="5" t="s">
        <v>10</v>
      </c>
      <c r="E8" s="4"/>
    </row>
    <row r="9" ht="15.0" customHeight="1">
      <c r="A9" s="9" t="s">
        <v>11</v>
      </c>
      <c r="B9" s="12">
        <v>0.05</v>
      </c>
      <c r="C9" s="4"/>
      <c r="D9" s="5" t="s">
        <v>12</v>
      </c>
      <c r="E9" s="4"/>
    </row>
    <row r="10" ht="15.0" customHeight="1">
      <c r="A10" s="9" t="s">
        <v>13</v>
      </c>
      <c r="B10" s="12">
        <v>0.05</v>
      </c>
      <c r="C10" s="4"/>
      <c r="D10" s="5" t="s">
        <v>14</v>
      </c>
      <c r="E10" s="4"/>
    </row>
    <row r="11">
      <c r="A11" s="4"/>
      <c r="B11" s="4"/>
      <c r="C11" s="4"/>
      <c r="D11" s="4"/>
      <c r="E11" s="4"/>
    </row>
    <row r="12" ht="15.0" customHeight="1">
      <c r="A12" s="13" t="s">
        <v>15</v>
      </c>
      <c r="B12" s="4"/>
      <c r="C12" s="4"/>
      <c r="D12" s="4"/>
      <c r="E12" s="4"/>
    </row>
    <row r="13" ht="15.0" customHeight="1">
      <c r="A13" s="9" t="s">
        <v>16</v>
      </c>
      <c r="B13" s="14">
        <f t="shared" ref="B13:B15" si="1">(1+B8)^(1/12)-1</f>
        <v>0.007974140429</v>
      </c>
      <c r="C13" s="4"/>
      <c r="D13" s="5" t="s">
        <v>17</v>
      </c>
      <c r="E13" s="4"/>
    </row>
    <row r="14" ht="15.0" customHeight="1">
      <c r="A14" s="9" t="s">
        <v>18</v>
      </c>
      <c r="B14" s="14">
        <f t="shared" si="1"/>
        <v>0.004074123784</v>
      </c>
      <c r="C14" s="4"/>
      <c r="D14" s="5" t="s">
        <v>17</v>
      </c>
      <c r="E14" s="4"/>
    </row>
    <row r="15" ht="15.0" customHeight="1">
      <c r="A15" s="9" t="s">
        <v>19</v>
      </c>
      <c r="B15" s="14">
        <f t="shared" si="1"/>
        <v>0.004074123784</v>
      </c>
      <c r="C15" s="4"/>
      <c r="D15" s="5" t="s">
        <v>17</v>
      </c>
      <c r="E15" s="4"/>
    </row>
    <row r="16" ht="15.0" customHeight="1">
      <c r="A16" s="9" t="s">
        <v>20</v>
      </c>
      <c r="B16" s="14">
        <f>((1+B9)*(1+B10))^(1/12)-1</f>
        <v>0.008164846052</v>
      </c>
      <c r="C16" s="4"/>
      <c r="D16" s="5" t="s">
        <v>21</v>
      </c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 ht="15.75" customHeight="1">
      <c r="A21" s="4"/>
      <c r="B21" s="4"/>
      <c r="C21" s="4"/>
      <c r="D21" s="4"/>
      <c r="E21" s="4"/>
    </row>
    <row r="22" ht="15.75" customHeight="1">
      <c r="A22" s="4"/>
      <c r="B22" s="4"/>
      <c r="C22" s="4"/>
      <c r="D22" s="4"/>
      <c r="E22" s="4"/>
    </row>
    <row r="23" ht="15.75" customHeight="1">
      <c r="A23" s="4"/>
      <c r="B23" s="4"/>
      <c r="C23" s="4"/>
      <c r="D23" s="4"/>
      <c r="E23" s="4"/>
    </row>
    <row r="24" ht="15.75" customHeight="1">
      <c r="A24" s="4"/>
      <c r="B24" s="4"/>
      <c r="C24" s="4"/>
      <c r="D24" s="4"/>
      <c r="E24" s="4"/>
    </row>
    <row r="25" ht="15.75" customHeight="1">
      <c r="A25" s="4"/>
      <c r="B25" s="4"/>
      <c r="C25" s="4"/>
      <c r="D25" s="4"/>
      <c r="E25" s="4"/>
    </row>
    <row r="26" ht="15.75" customHeight="1">
      <c r="A26" s="4"/>
      <c r="B26" s="4"/>
      <c r="C26" s="4"/>
      <c r="D26" s="4"/>
      <c r="E26" s="4"/>
    </row>
    <row r="27" ht="15.75" customHeight="1">
      <c r="A27" s="4"/>
      <c r="B27" s="4"/>
      <c r="C27" s="4"/>
      <c r="D27" s="4"/>
      <c r="E27" s="4"/>
    </row>
    <row r="28" ht="15.75" customHeight="1">
      <c r="A28" s="4"/>
      <c r="B28" s="4"/>
      <c r="C28" s="4"/>
      <c r="D28" s="4"/>
      <c r="E28" s="4"/>
    </row>
    <row r="29" ht="15.75" customHeight="1">
      <c r="A29" s="4"/>
      <c r="B29" s="4"/>
      <c r="C29" s="4"/>
      <c r="D29" s="4"/>
      <c r="E29" s="4"/>
    </row>
    <row r="30" ht="15.75" customHeight="1">
      <c r="A30" s="4"/>
      <c r="B30" s="4"/>
      <c r="C30" s="4"/>
      <c r="D30" s="4"/>
      <c r="E30" s="4"/>
    </row>
    <row r="31" ht="15.75" customHeight="1">
      <c r="A31" s="4"/>
      <c r="B31" s="4"/>
      <c r="C31" s="4"/>
      <c r="D31" s="4"/>
      <c r="E31" s="4"/>
    </row>
    <row r="32" ht="15.75" customHeight="1">
      <c r="A32" s="4"/>
      <c r="B32" s="4"/>
      <c r="C32" s="4"/>
      <c r="D32" s="4"/>
      <c r="E32" s="4"/>
    </row>
    <row r="33" ht="15.75" customHeight="1">
      <c r="A33" s="4"/>
      <c r="B33" s="4"/>
      <c r="C33" s="4"/>
      <c r="D33" s="4"/>
      <c r="E33" s="4"/>
    </row>
    <row r="34" ht="15.75" customHeight="1">
      <c r="A34" s="4"/>
      <c r="B34" s="4"/>
      <c r="C34" s="4"/>
      <c r="D34" s="4"/>
      <c r="E34" s="4"/>
    </row>
    <row r="35" ht="15.75" customHeight="1">
      <c r="A35" s="4"/>
      <c r="B35" s="4"/>
      <c r="C35" s="4"/>
      <c r="D35" s="4"/>
      <c r="E35" s="4"/>
    </row>
    <row r="36" ht="15.75" customHeight="1">
      <c r="A36" s="4"/>
      <c r="B36" s="4"/>
      <c r="C36" s="4"/>
      <c r="D36" s="4"/>
      <c r="E36" s="4"/>
    </row>
    <row r="37" ht="15.75" customHeight="1">
      <c r="A37" s="4"/>
      <c r="B37" s="4"/>
      <c r="C37" s="4"/>
      <c r="D37" s="4"/>
      <c r="E37" s="4"/>
    </row>
    <row r="38" ht="15.75" customHeight="1">
      <c r="A38" s="4"/>
      <c r="B38" s="4"/>
      <c r="C38" s="4"/>
      <c r="D38" s="4"/>
      <c r="E38" s="4"/>
    </row>
    <row r="39" ht="15.75" customHeight="1">
      <c r="A39" s="4"/>
      <c r="B39" s="4"/>
      <c r="C39" s="4"/>
      <c r="D39" s="4"/>
      <c r="E39" s="4"/>
    </row>
    <row r="40" ht="15.75" customHeight="1">
      <c r="A40" s="4"/>
      <c r="B40" s="4"/>
      <c r="C40" s="4"/>
      <c r="D40" s="4"/>
      <c r="E40" s="4"/>
    </row>
    <row r="41" ht="15.75" customHeight="1">
      <c r="A41" s="4"/>
      <c r="B41" s="4"/>
      <c r="C41" s="4"/>
      <c r="D41" s="4"/>
      <c r="E41" s="4"/>
    </row>
    <row r="42" ht="15.75" customHeight="1">
      <c r="A42" s="4"/>
      <c r="B42" s="4"/>
      <c r="C42" s="4"/>
      <c r="D42" s="4"/>
      <c r="E42" s="4"/>
    </row>
    <row r="43" ht="15.75" customHeight="1">
      <c r="A43" s="4"/>
      <c r="B43" s="4"/>
      <c r="C43" s="4"/>
      <c r="D43" s="4"/>
      <c r="E43" s="4"/>
    </row>
    <row r="44" ht="15.75" customHeight="1">
      <c r="A44" s="4"/>
      <c r="B44" s="4"/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75" customHeight="1">
      <c r="A46" s="4"/>
      <c r="B46" s="4"/>
      <c r="C46" s="4"/>
      <c r="D46" s="4"/>
      <c r="E46" s="4"/>
    </row>
    <row r="47" ht="15.75" customHeight="1">
      <c r="A47" s="4"/>
      <c r="B47" s="4"/>
      <c r="C47" s="4"/>
      <c r="D47" s="4"/>
      <c r="E47" s="4"/>
    </row>
    <row r="48" ht="15.75" customHeight="1">
      <c r="A48" s="4"/>
      <c r="B48" s="4"/>
      <c r="C48" s="4"/>
      <c r="D48" s="4"/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mergeCells count="2">
    <mergeCell ref="A1:D1"/>
    <mergeCell ref="A3:D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2.0"/>
    <col customWidth="1" min="2" max="2" width="22.0"/>
    <col customWidth="1" min="3" max="3" width="4.0"/>
    <col customWidth="1" min="4" max="4" width="42.0"/>
    <col customWidth="1" min="5" max="26" width="8.71"/>
  </cols>
  <sheetData>
    <row r="1" ht="24.0" customHeight="1">
      <c r="A1" s="1" t="s">
        <v>22</v>
      </c>
      <c r="B1" s="2"/>
      <c r="C1" s="2"/>
      <c r="D1" s="3"/>
    </row>
    <row r="3">
      <c r="A3" s="5" t="s">
        <v>23</v>
      </c>
    </row>
    <row r="5">
      <c r="A5" s="15" t="s">
        <v>24</v>
      </c>
    </row>
    <row r="6">
      <c r="A6" s="16" t="s">
        <v>25</v>
      </c>
      <c r="B6" s="17">
        <f>IF(COUNTIF('Projeção'!G2:G481,"&gt;="&amp;'Parâmetros'!$B$7)=0,"Não atingido em 40 anos",COUNTIF('Projeção'!G2:G481,"&lt;"&amp;'Parâmetros'!$B$7)+1)</f>
        <v>257</v>
      </c>
    </row>
    <row r="7">
      <c r="A7" s="16" t="s">
        <v>26</v>
      </c>
      <c r="B7" s="18" t="str">
        <f>IF(ISNUMBER(B6),INT((B6-1)/12)&amp;" anos e "&amp;MOD(B6-1,12)&amp;" meses","-")</f>
        <v>21 anos e 4 meses</v>
      </c>
    </row>
    <row r="8">
      <c r="A8" s="16" t="s">
        <v>27</v>
      </c>
      <c r="B8" s="19">
        <f t="array" ref="B8">IF(ISNUMBER(B6),INDEX('Projeção'!G2:G481,B6),"-")</f>
        <v>1005751.389</v>
      </c>
    </row>
    <row r="9">
      <c r="A9" s="16" t="s">
        <v>28</v>
      </c>
      <c r="B9" s="19">
        <f t="array" ref="B9">IF(ISNUMBER(B6),INDEX('Projeção'!D2:D481,B6),"-")</f>
        <v>4009.098851</v>
      </c>
    </row>
    <row r="11">
      <c r="A11" s="15" t="s">
        <v>29</v>
      </c>
    </row>
    <row r="12">
      <c r="A12" s="16" t="s">
        <v>30</v>
      </c>
      <c r="B12" s="17">
        <f>IF(COUNTIF('Projeção'!H2:H481,"&gt;="&amp;'Parâmetros'!$B$7)=0,"Não atingido em 40 anos",COUNTIF('Projeção'!H2:H481,"&lt;"&amp;'Parâmetros'!$B$7)+1)</f>
        <v>405</v>
      </c>
    </row>
    <row r="13">
      <c r="A13" s="16" t="s">
        <v>26</v>
      </c>
      <c r="B13" s="18" t="str">
        <f>IF(ISNUMBER(B12),INT((B12-1)/12)&amp;" anos e "&amp;MOD(B12-1,12)&amp;" meses","-")</f>
        <v>33 anos e 8 meses</v>
      </c>
    </row>
    <row r="14">
      <c r="A14" s="16" t="s">
        <v>31</v>
      </c>
      <c r="B14" s="19">
        <f t="array" ref="B14">IF(ISNUMBER(B12),INDEX('Projeção'!G2:G481,B12),"-")</f>
        <v>5208005.249</v>
      </c>
    </row>
    <row r="15">
      <c r="A15" s="16" t="s">
        <v>32</v>
      </c>
      <c r="B15" s="19">
        <f t="array" ref="B15">IF(ISNUMBER(B12),INDEX('Projeção'!H2:H481,B12),"-")</f>
        <v>1003535.106</v>
      </c>
    </row>
    <row r="16">
      <c r="A16" s="16" t="s">
        <v>28</v>
      </c>
      <c r="B16" s="19">
        <f t="array" ref="B16">IF(ISNUMBER(B12),INDEX('Projeção'!D2:D481,B12),"-")</f>
        <v>13357.22193</v>
      </c>
    </row>
    <row r="18">
      <c r="A18" s="5" t="s">
        <v>33</v>
      </c>
    </row>
    <row r="19">
      <c r="A19" s="5" t="s">
        <v>34</v>
      </c>
    </row>
    <row r="20">
      <c r="A20" s="5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D1"/>
    <mergeCell ref="A3:D3"/>
    <mergeCell ref="A5:D5"/>
    <mergeCell ref="A11:D11"/>
    <mergeCell ref="A18:D18"/>
    <mergeCell ref="A19:D19"/>
    <mergeCell ref="A20:D2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8.86"/>
    <col customWidth="1" min="3" max="3" width="18.71"/>
    <col customWidth="1" min="4" max="4" width="19.57"/>
    <col customWidth="1" hidden="1" min="5" max="5" width="23.57"/>
    <col customWidth="1" min="6" max="6" width="20.86"/>
    <col customWidth="1" min="7" max="7" width="21.14"/>
    <col customWidth="1" min="8" max="8" width="27.71"/>
    <col customWidth="1" min="9" max="9" width="13.43"/>
    <col customWidth="1" min="10" max="10" width="19.71"/>
    <col customWidth="1" min="11" max="11" width="19.29"/>
    <col customWidth="1" min="12" max="12" width="25.57"/>
    <col customWidth="1" min="13" max="13" width="22.86"/>
    <col customWidth="1" min="14" max="14" width="12.86"/>
    <col customWidth="1" min="15" max="15" width="5.71"/>
    <col customWidth="1" min="16" max="27" width="8.71"/>
  </cols>
  <sheetData>
    <row r="1" ht="31.5" customHeight="1">
      <c r="A1" s="20" t="s">
        <v>36</v>
      </c>
      <c r="B1" s="20" t="s">
        <v>37</v>
      </c>
      <c r="C1" s="21" t="s">
        <v>38</v>
      </c>
      <c r="D1" s="21" t="s">
        <v>39</v>
      </c>
      <c r="E1" s="21" t="s">
        <v>40</v>
      </c>
      <c r="F1" s="20" t="s">
        <v>41</v>
      </c>
      <c r="G1" s="20" t="s">
        <v>42</v>
      </c>
      <c r="H1" s="21" t="s">
        <v>43</v>
      </c>
      <c r="I1" s="20" t="s">
        <v>44</v>
      </c>
      <c r="J1" s="20" t="s">
        <v>45</v>
      </c>
      <c r="K1" s="20" t="s">
        <v>46</v>
      </c>
      <c r="L1" s="21" t="s">
        <v>47</v>
      </c>
      <c r="M1" s="21" t="s">
        <v>48</v>
      </c>
    </row>
    <row r="2">
      <c r="A2" s="22">
        <v>1.0</v>
      </c>
      <c r="B2" s="22">
        <f t="shared" ref="B2:B481" si="1">ROUNDUP(A2/12,0)</f>
        <v>1</v>
      </c>
      <c r="C2" s="23">
        <f>'Parâmetros'!$B$6</f>
        <v>500</v>
      </c>
      <c r="D2" s="24">
        <v>1495.55</v>
      </c>
      <c r="E2" s="23">
        <v>0.0</v>
      </c>
      <c r="F2" s="23">
        <f>E2*'Parâmetros'!$B$13</f>
        <v>0</v>
      </c>
      <c r="G2" s="23">
        <f t="shared" ref="G2:G481" si="2">E2+D2+F2</f>
        <v>1495.55</v>
      </c>
      <c r="H2" s="23">
        <f>G2/(1+'Parâmetros'!$B$14)^A2</f>
        <v>1489.481667</v>
      </c>
      <c r="I2" s="25">
        <f>H2/'Parâmetros'!$B$7</f>
        <v>0.001489481667</v>
      </c>
      <c r="J2" s="23">
        <f t="shared" ref="J2:J481" si="3">SUM($D$2:D2)</f>
        <v>1495.55</v>
      </c>
      <c r="K2" s="23">
        <f t="shared" ref="K2:K481" si="4">G2-J2</f>
        <v>0</v>
      </c>
      <c r="L2" s="26">
        <v>1500.0</v>
      </c>
      <c r="M2" s="24">
        <v>0.0</v>
      </c>
      <c r="N2" s="27">
        <v>46217.0</v>
      </c>
      <c r="O2" s="28" t="s">
        <v>49</v>
      </c>
    </row>
    <row r="3">
      <c r="A3" s="22">
        <v>2.0</v>
      </c>
      <c r="B3" s="22">
        <f t="shared" si="1"/>
        <v>1</v>
      </c>
      <c r="C3" s="23">
        <f>C2*(1+'Parâmetros'!$B$16)</f>
        <v>504.082423</v>
      </c>
      <c r="D3" s="24">
        <v>0.0</v>
      </c>
      <c r="E3" s="23">
        <f t="shared" ref="E3:E481" si="5">G2</f>
        <v>1495.55</v>
      </c>
      <c r="F3" s="23">
        <f>E3*'Parâmetros'!$B$13</f>
        <v>11.92572572</v>
      </c>
      <c r="G3" s="23">
        <f t="shared" si="2"/>
        <v>1507.475726</v>
      </c>
      <c r="H3" s="23">
        <f>G3/(1+'Parâmetros'!$B$14)^A3</f>
        <v>1495.2671</v>
      </c>
      <c r="I3" s="25">
        <f>H3/'Parâmetros'!$B$7</f>
        <v>0.0014952671</v>
      </c>
      <c r="J3" s="23">
        <f t="shared" si="3"/>
        <v>1495.55</v>
      </c>
      <c r="K3" s="23">
        <f t="shared" si="4"/>
        <v>11.92572572</v>
      </c>
      <c r="L3" s="29"/>
      <c r="M3" s="23"/>
    </row>
    <row r="4">
      <c r="A4" s="22">
        <v>3.0</v>
      </c>
      <c r="B4" s="22">
        <f t="shared" si="1"/>
        <v>1</v>
      </c>
      <c r="C4" s="23">
        <f>C3*(1+'Parâmetros'!$B$16)</f>
        <v>508.1981784</v>
      </c>
      <c r="D4" s="24">
        <v>0.0</v>
      </c>
      <c r="E4" s="23">
        <f t="shared" si="5"/>
        <v>1507.475726</v>
      </c>
      <c r="F4" s="23">
        <f>E4*'Parâmetros'!$B$13</f>
        <v>12.02082313</v>
      </c>
      <c r="G4" s="23">
        <f t="shared" si="2"/>
        <v>1519.496549</v>
      </c>
      <c r="H4" s="23">
        <f>G4/(1+'Parâmetros'!$B$14)^A4</f>
        <v>1501.075004</v>
      </c>
      <c r="I4" s="25">
        <f>H4/'Parâmetros'!$B$7</f>
        <v>0.001501075004</v>
      </c>
      <c r="J4" s="23">
        <f t="shared" si="3"/>
        <v>1495.55</v>
      </c>
      <c r="K4" s="23">
        <f t="shared" si="4"/>
        <v>23.94654885</v>
      </c>
      <c r="L4" s="29"/>
      <c r="M4" s="23"/>
    </row>
    <row r="5">
      <c r="A5" s="22">
        <v>4.0</v>
      </c>
      <c r="B5" s="22">
        <f t="shared" si="1"/>
        <v>1</v>
      </c>
      <c r="C5" s="23">
        <f>C4*(1+'Parâmetros'!$B$16)</f>
        <v>512.3475383</v>
      </c>
      <c r="D5" s="29">
        <f t="shared" ref="D5:D481" si="6">C5</f>
        <v>512.3475383</v>
      </c>
      <c r="E5" s="23">
        <f t="shared" si="5"/>
        <v>1519.496549</v>
      </c>
      <c r="F5" s="23">
        <f>E5*'Parâmetros'!$B$13</f>
        <v>12.11667886</v>
      </c>
      <c r="G5" s="23">
        <f t="shared" si="2"/>
        <v>2043.960766</v>
      </c>
      <c r="H5" s="23">
        <f>G5/(1+'Parâmetros'!$B$14)^A5</f>
        <v>2010.987891</v>
      </c>
      <c r="I5" s="25">
        <f>H5/'Parâmetros'!$B$7</f>
        <v>0.002010987891</v>
      </c>
      <c r="J5" s="23">
        <f t="shared" si="3"/>
        <v>2007.897538</v>
      </c>
      <c r="K5" s="23">
        <f t="shared" si="4"/>
        <v>36.06322771</v>
      </c>
      <c r="L5" s="29"/>
      <c r="M5" s="23"/>
    </row>
    <row r="6">
      <c r="A6" s="22">
        <v>5.0</v>
      </c>
      <c r="B6" s="22">
        <f t="shared" si="1"/>
        <v>1</v>
      </c>
      <c r="C6" s="23">
        <f>C5*(1+'Parâmetros'!$B$16)</f>
        <v>516.5307771</v>
      </c>
      <c r="D6" s="29">
        <f t="shared" si="6"/>
        <v>516.5307771</v>
      </c>
      <c r="E6" s="23">
        <f t="shared" si="5"/>
        <v>2043.960766</v>
      </c>
      <c r="F6" s="23">
        <f>E6*'Parâmetros'!$B$13</f>
        <v>16.29883018</v>
      </c>
      <c r="G6" s="23">
        <f t="shared" si="2"/>
        <v>2576.790373</v>
      </c>
      <c r="H6" s="23">
        <f>G6/(1+'Parâmetros'!$B$14)^A6</f>
        <v>2524.935071</v>
      </c>
      <c r="I6" s="25">
        <f>H6/'Parâmetros'!$B$7</f>
        <v>0.002524935071</v>
      </c>
      <c r="J6" s="23">
        <f t="shared" si="3"/>
        <v>2524.428315</v>
      </c>
      <c r="K6" s="23">
        <f t="shared" si="4"/>
        <v>52.36205789</v>
      </c>
      <c r="L6" s="29"/>
      <c r="M6" s="23"/>
    </row>
    <row r="7">
      <c r="A7" s="22">
        <v>6.0</v>
      </c>
      <c r="B7" s="22">
        <f t="shared" si="1"/>
        <v>1</v>
      </c>
      <c r="C7" s="23">
        <f>C6*(1+'Parâmetros'!$B$16)</f>
        <v>520.7481713</v>
      </c>
      <c r="D7" s="29">
        <f t="shared" si="6"/>
        <v>520.7481713</v>
      </c>
      <c r="E7" s="23">
        <f t="shared" si="5"/>
        <v>2576.790373</v>
      </c>
      <c r="F7" s="23">
        <f>E7*'Parâmetros'!$B$13</f>
        <v>20.54768829</v>
      </c>
      <c r="G7" s="23">
        <f t="shared" si="2"/>
        <v>3118.086233</v>
      </c>
      <c r="H7" s="23">
        <f>G7/(1+'Parâmetros'!$B$14)^A7</f>
        <v>3042.940582</v>
      </c>
      <c r="I7" s="25">
        <f>H7/'Parâmetros'!$B$7</f>
        <v>0.003042940582</v>
      </c>
      <c r="J7" s="23">
        <f t="shared" si="3"/>
        <v>3045.176487</v>
      </c>
      <c r="K7" s="23">
        <f t="shared" si="4"/>
        <v>72.90974618</v>
      </c>
      <c r="L7" s="29"/>
      <c r="M7" s="23"/>
    </row>
    <row r="8">
      <c r="A8" s="22">
        <v>7.0</v>
      </c>
      <c r="B8" s="22">
        <f t="shared" si="1"/>
        <v>1</v>
      </c>
      <c r="C8" s="23">
        <f>C7*(1+'Parâmetros'!$B$16)</f>
        <v>525</v>
      </c>
      <c r="D8" s="29">
        <f t="shared" si="6"/>
        <v>525</v>
      </c>
      <c r="E8" s="23">
        <f t="shared" si="5"/>
        <v>3118.086233</v>
      </c>
      <c r="F8" s="23">
        <f>E8*'Parâmetros'!$B$13</f>
        <v>24.86405749</v>
      </c>
      <c r="G8" s="23">
        <f t="shared" si="2"/>
        <v>3667.95029</v>
      </c>
      <c r="H8" s="23">
        <f>G8/(1+'Parâmetros'!$B$14)^A8</f>
        <v>3565.028588</v>
      </c>
      <c r="I8" s="25">
        <f>H8/'Parâmetros'!$B$7</f>
        <v>0.003565028588</v>
      </c>
      <c r="J8" s="23">
        <f t="shared" si="3"/>
        <v>3570.176487</v>
      </c>
      <c r="K8" s="23">
        <f t="shared" si="4"/>
        <v>97.77380367</v>
      </c>
      <c r="L8" s="29"/>
      <c r="M8" s="23"/>
    </row>
    <row r="9">
      <c r="A9" s="22">
        <v>8.0</v>
      </c>
      <c r="B9" s="22">
        <f t="shared" si="1"/>
        <v>1</v>
      </c>
      <c r="C9" s="23">
        <f>C8*(1+'Parâmetros'!$B$16)</f>
        <v>529.2865442</v>
      </c>
      <c r="D9" s="29">
        <f t="shared" si="6"/>
        <v>529.2865442</v>
      </c>
      <c r="E9" s="23">
        <f t="shared" si="5"/>
        <v>3667.95029</v>
      </c>
      <c r="F9" s="23">
        <f>E9*'Parâmetros'!$B$13</f>
        <v>29.2487507</v>
      </c>
      <c r="G9" s="23">
        <f t="shared" si="2"/>
        <v>4226.485585</v>
      </c>
      <c r="H9" s="23">
        <f>G9/(1+'Parâmetros'!$B$14)^A9</f>
        <v>4091.223382</v>
      </c>
      <c r="I9" s="25">
        <f>H9/'Parâmetros'!$B$7</f>
        <v>0.004091223382</v>
      </c>
      <c r="J9" s="23">
        <f t="shared" si="3"/>
        <v>4099.463031</v>
      </c>
      <c r="K9" s="23">
        <f t="shared" si="4"/>
        <v>127.0225544</v>
      </c>
      <c r="L9" s="29"/>
      <c r="M9" s="23"/>
    </row>
    <row r="10">
      <c r="A10" s="22">
        <v>9.0</v>
      </c>
      <c r="B10" s="22">
        <f t="shared" si="1"/>
        <v>1</v>
      </c>
      <c r="C10" s="23">
        <f>C9*(1+'Parâmetros'!$B$16)</f>
        <v>533.6080873</v>
      </c>
      <c r="D10" s="29">
        <f t="shared" si="6"/>
        <v>533.6080873</v>
      </c>
      <c r="E10" s="23">
        <f t="shared" si="5"/>
        <v>4226.485585</v>
      </c>
      <c r="F10" s="23">
        <f>E10*'Parâmetros'!$B$13</f>
        <v>33.70258958</v>
      </c>
      <c r="G10" s="23">
        <f t="shared" si="2"/>
        <v>4793.796262</v>
      </c>
      <c r="H10" s="23">
        <f>G10/(1+'Parâmetros'!$B$14)^A10</f>
        <v>4621.549384</v>
      </c>
      <c r="I10" s="25">
        <f>H10/'Parâmetros'!$B$7</f>
        <v>0.004621549384</v>
      </c>
      <c r="J10" s="23">
        <f t="shared" si="3"/>
        <v>4633.071118</v>
      </c>
      <c r="K10" s="23">
        <f t="shared" si="4"/>
        <v>160.725144</v>
      </c>
      <c r="L10" s="29"/>
      <c r="M10" s="23"/>
    </row>
    <row r="11">
      <c r="A11" s="22">
        <v>10.0</v>
      </c>
      <c r="B11" s="22">
        <f t="shared" si="1"/>
        <v>1</v>
      </c>
      <c r="C11" s="23">
        <f>C10*(1+'Parâmetros'!$B$16)</f>
        <v>537.9649152</v>
      </c>
      <c r="D11" s="29">
        <f t="shared" si="6"/>
        <v>537.9649152</v>
      </c>
      <c r="E11" s="23">
        <f t="shared" si="5"/>
        <v>4793.796262</v>
      </c>
      <c r="F11" s="23">
        <f>E11*'Parâmetros'!$B$13</f>
        <v>38.22640458</v>
      </c>
      <c r="G11" s="23">
        <f t="shared" si="2"/>
        <v>5369.987582</v>
      </c>
      <c r="H11" s="23">
        <f>G11/(1+'Parâmetros'!$B$14)^A11</f>
        <v>5156.031147</v>
      </c>
      <c r="I11" s="25">
        <f>H11/'Parâmetros'!$B$7</f>
        <v>0.005156031147</v>
      </c>
      <c r="J11" s="23">
        <f t="shared" si="3"/>
        <v>5171.036033</v>
      </c>
      <c r="K11" s="23">
        <f t="shared" si="4"/>
        <v>198.9515485</v>
      </c>
      <c r="L11" s="29"/>
      <c r="M11" s="23"/>
    </row>
    <row r="12">
      <c r="A12" s="22">
        <v>11.0</v>
      </c>
      <c r="B12" s="22">
        <f t="shared" si="1"/>
        <v>1</v>
      </c>
      <c r="C12" s="23">
        <f>C11*(1+'Parâmetros'!$B$16)</f>
        <v>542.3573159</v>
      </c>
      <c r="D12" s="29">
        <f t="shared" si="6"/>
        <v>542.3573159</v>
      </c>
      <c r="E12" s="23">
        <f t="shared" si="5"/>
        <v>5369.987582</v>
      </c>
      <c r="F12" s="23">
        <f>E12*'Parâmetros'!$B$13</f>
        <v>42.82103508</v>
      </c>
      <c r="G12" s="23">
        <f t="shared" si="2"/>
        <v>5955.165933</v>
      </c>
      <c r="H12" s="23">
        <f>G12/(1+'Parâmetros'!$B$14)^A12</f>
        <v>5694.693349</v>
      </c>
      <c r="I12" s="25">
        <f>H12/'Parâmetros'!$B$7</f>
        <v>0.005694693349</v>
      </c>
      <c r="J12" s="23">
        <f t="shared" si="3"/>
        <v>5713.393349</v>
      </c>
      <c r="K12" s="23">
        <f t="shared" si="4"/>
        <v>241.7725836</v>
      </c>
      <c r="L12" s="29"/>
      <c r="M12" s="23"/>
    </row>
    <row r="13">
      <c r="A13" s="22">
        <v>12.0</v>
      </c>
      <c r="B13" s="22">
        <f t="shared" si="1"/>
        <v>1</v>
      </c>
      <c r="C13" s="23">
        <f>C12*(1+'Parâmetros'!$B$16)</f>
        <v>546.7855799</v>
      </c>
      <c r="D13" s="29">
        <f t="shared" si="6"/>
        <v>546.7855799</v>
      </c>
      <c r="E13" s="23">
        <f t="shared" si="5"/>
        <v>5955.165933</v>
      </c>
      <c r="F13" s="23">
        <f>E13*'Parâmetros'!$B$13</f>
        <v>47.48732943</v>
      </c>
      <c r="G13" s="23">
        <f t="shared" si="2"/>
        <v>6549.438842</v>
      </c>
      <c r="H13" s="23">
        <f>G13/(1+'Parâmetros'!$B$14)^A13</f>
        <v>6237.560802</v>
      </c>
      <c r="I13" s="25">
        <f>H13/'Parâmetros'!$B$7</f>
        <v>0.006237560802</v>
      </c>
      <c r="J13" s="23">
        <f t="shared" si="3"/>
        <v>6260.178929</v>
      </c>
      <c r="K13" s="23">
        <f t="shared" si="4"/>
        <v>289.259913</v>
      </c>
      <c r="L13" s="29"/>
      <c r="M13" s="23"/>
    </row>
    <row r="14">
      <c r="A14" s="22">
        <v>13.0</v>
      </c>
      <c r="B14" s="22">
        <f t="shared" si="1"/>
        <v>2</v>
      </c>
      <c r="C14" s="23">
        <f>C13*(1+'Parâmetros'!$B$16)</f>
        <v>551.25</v>
      </c>
      <c r="D14" s="29">
        <f t="shared" si="6"/>
        <v>551.25</v>
      </c>
      <c r="E14" s="23">
        <f t="shared" si="5"/>
        <v>6549.438842</v>
      </c>
      <c r="F14" s="23">
        <f>E14*'Parâmetros'!$B$13</f>
        <v>52.22614506</v>
      </c>
      <c r="G14" s="23">
        <f t="shared" si="2"/>
        <v>7152.914987</v>
      </c>
      <c r="H14" s="23">
        <f>G14/(1+'Parâmetros'!$B$14)^A14</f>
        <v>6784.65845</v>
      </c>
      <c r="I14" s="25">
        <f>H14/'Parâmetros'!$B$7</f>
        <v>0.00678465845</v>
      </c>
      <c r="J14" s="23">
        <f t="shared" si="3"/>
        <v>6811.428929</v>
      </c>
      <c r="K14" s="23">
        <f t="shared" si="4"/>
        <v>341.4860581</v>
      </c>
      <c r="L14" s="29"/>
      <c r="M14" s="23"/>
    </row>
    <row r="15">
      <c r="A15" s="22">
        <v>14.0</v>
      </c>
      <c r="B15" s="22">
        <f t="shared" si="1"/>
        <v>2</v>
      </c>
      <c r="C15" s="23">
        <f>C14*(1+'Parâmetros'!$B$16)</f>
        <v>555.7508714</v>
      </c>
      <c r="D15" s="29">
        <f t="shared" si="6"/>
        <v>555.7508714</v>
      </c>
      <c r="E15" s="23">
        <f t="shared" si="5"/>
        <v>7152.914987</v>
      </c>
      <c r="F15" s="23">
        <f>E15*'Parâmetros'!$B$13</f>
        <v>57.03834859</v>
      </c>
      <c r="G15" s="23">
        <f t="shared" si="2"/>
        <v>7765.704207</v>
      </c>
      <c r="H15" s="23">
        <f>G15/(1+'Parâmetros'!$B$14)^A15</f>
        <v>7336.011365</v>
      </c>
      <c r="I15" s="25">
        <f>H15/'Parâmetros'!$B$7</f>
        <v>0.007336011365</v>
      </c>
      <c r="J15" s="23">
        <f t="shared" si="3"/>
        <v>7367.179801</v>
      </c>
      <c r="K15" s="23">
        <f t="shared" si="4"/>
        <v>398.5244067</v>
      </c>
      <c r="L15" s="29"/>
      <c r="M15" s="23"/>
    </row>
    <row r="16">
      <c r="A16" s="22">
        <v>15.0</v>
      </c>
      <c r="B16" s="22">
        <f t="shared" si="1"/>
        <v>2</v>
      </c>
      <c r="C16" s="23">
        <f>C15*(1+'Parâmetros'!$B$16)</f>
        <v>560.2884917</v>
      </c>
      <c r="D16" s="29">
        <f t="shared" si="6"/>
        <v>560.2884917</v>
      </c>
      <c r="E16" s="23">
        <f t="shared" si="5"/>
        <v>7765.704207</v>
      </c>
      <c r="F16" s="23">
        <f>E16*'Parâmetros'!$B$13</f>
        <v>61.92481588</v>
      </c>
      <c r="G16" s="23">
        <f t="shared" si="2"/>
        <v>8387.917515</v>
      </c>
      <c r="H16" s="23">
        <f>G16/(1+'Parâmetros'!$B$14)^A16</f>
        <v>7891.644757</v>
      </c>
      <c r="I16" s="25">
        <f>H16/'Parâmetros'!$B$7</f>
        <v>0.007891644757</v>
      </c>
      <c r="J16" s="23">
        <f t="shared" si="3"/>
        <v>7927.468292</v>
      </c>
      <c r="K16" s="23">
        <f t="shared" si="4"/>
        <v>460.4492226</v>
      </c>
      <c r="L16" s="29"/>
      <c r="M16" s="23"/>
    </row>
    <row r="17" ht="15.75" customHeight="1">
      <c r="A17" s="22">
        <v>16.0</v>
      </c>
      <c r="B17" s="22">
        <f t="shared" si="1"/>
        <v>2</v>
      </c>
      <c r="C17" s="23">
        <f>C16*(1+'Parâmetros'!$B$16)</f>
        <v>564.863161</v>
      </c>
      <c r="D17" s="29">
        <f t="shared" si="6"/>
        <v>564.863161</v>
      </c>
      <c r="E17" s="23">
        <f t="shared" si="5"/>
        <v>8387.917515</v>
      </c>
      <c r="F17" s="23">
        <f>E17*'Parâmetros'!$B$13</f>
        <v>66.88643217</v>
      </c>
      <c r="G17" s="23">
        <f t="shared" si="2"/>
        <v>9019.667108</v>
      </c>
      <c r="H17" s="23">
        <f>G17/(1+'Parâmetros'!$B$14)^A17</f>
        <v>8451.583964</v>
      </c>
      <c r="I17" s="25">
        <f>H17/'Parâmetros'!$B$7</f>
        <v>0.008451583964</v>
      </c>
      <c r="J17" s="23">
        <f t="shared" si="3"/>
        <v>8492.331453</v>
      </c>
      <c r="K17" s="23">
        <f t="shared" si="4"/>
        <v>527.3356547</v>
      </c>
      <c r="L17" s="29"/>
      <c r="M17" s="23"/>
    </row>
    <row r="18" ht="15.75" customHeight="1">
      <c r="A18" s="22">
        <v>17.0</v>
      </c>
      <c r="B18" s="22">
        <f t="shared" si="1"/>
        <v>2</v>
      </c>
      <c r="C18" s="23">
        <f>C17*(1+'Parâmetros'!$B$16)</f>
        <v>569.4751817</v>
      </c>
      <c r="D18" s="29">
        <f t="shared" si="6"/>
        <v>569.4751817</v>
      </c>
      <c r="E18" s="23">
        <f t="shared" si="5"/>
        <v>9019.667108</v>
      </c>
      <c r="F18" s="23">
        <f>E18*'Parâmetros'!$B$13</f>
        <v>71.92409214</v>
      </c>
      <c r="G18" s="23">
        <f t="shared" si="2"/>
        <v>9661.066382</v>
      </c>
      <c r="H18" s="23">
        <f>G18/(1+'Parâmetros'!$B$14)^A18</f>
        <v>9015.854462</v>
      </c>
      <c r="I18" s="25">
        <f>H18/'Parâmetros'!$B$7</f>
        <v>0.009015854462</v>
      </c>
      <c r="J18" s="23">
        <f t="shared" si="3"/>
        <v>9061.806635</v>
      </c>
      <c r="K18" s="23">
        <f t="shared" si="4"/>
        <v>599.2597469</v>
      </c>
      <c r="L18" s="29"/>
      <c r="M18" s="23"/>
    </row>
    <row r="19" ht="15.75" customHeight="1">
      <c r="A19" s="30">
        <v>18.0</v>
      </c>
      <c r="B19" s="30">
        <f t="shared" si="1"/>
        <v>2</v>
      </c>
      <c r="C19" s="31">
        <f>C18*(1+'Parâmetros'!$B$16)</f>
        <v>574.1248589</v>
      </c>
      <c r="D19" s="32">
        <f t="shared" si="6"/>
        <v>574.1248589</v>
      </c>
      <c r="E19" s="31">
        <f t="shared" si="5"/>
        <v>9661.066382</v>
      </c>
      <c r="F19" s="31">
        <f>E19*'Parâmetros'!$B$13</f>
        <v>77.03870002</v>
      </c>
      <c r="G19" s="31">
        <f t="shared" si="2"/>
        <v>10312.22994</v>
      </c>
      <c r="H19" s="31">
        <f>G19/(1+'Parâmetros'!$B$14)^A19</f>
        <v>9584.481859</v>
      </c>
      <c r="I19" s="33">
        <f>H19/'Parâmetros'!$B$7</f>
        <v>0.009584481859</v>
      </c>
      <c r="J19" s="31">
        <f t="shared" si="3"/>
        <v>9635.931494</v>
      </c>
      <c r="K19" s="31">
        <f t="shared" si="4"/>
        <v>676.2984469</v>
      </c>
      <c r="L19" s="29"/>
      <c r="M19" s="23"/>
    </row>
    <row r="20" ht="15.75" customHeight="1">
      <c r="A20" s="22">
        <v>19.0</v>
      </c>
      <c r="B20" s="22">
        <f t="shared" si="1"/>
        <v>2</v>
      </c>
      <c r="C20" s="23">
        <f>C19*(1+'Parâmetros'!$B$16)</f>
        <v>578.8125</v>
      </c>
      <c r="D20" s="29">
        <f t="shared" si="6"/>
        <v>578.8125</v>
      </c>
      <c r="E20" s="23">
        <f t="shared" si="5"/>
        <v>10312.22994</v>
      </c>
      <c r="F20" s="23">
        <f>E20*'Parâmetros'!$B$13</f>
        <v>82.23116968</v>
      </c>
      <c r="G20" s="23">
        <f t="shared" si="2"/>
        <v>10973.27361</v>
      </c>
      <c r="H20" s="23">
        <f>G20/(1+'Parâmetros'!$B$14)^A20</f>
        <v>10157.4919</v>
      </c>
      <c r="I20" s="25">
        <f>H20/'Parâmetros'!$B$7</f>
        <v>0.0101574919</v>
      </c>
      <c r="J20" s="23">
        <f t="shared" si="3"/>
        <v>10214.74399</v>
      </c>
      <c r="K20" s="23">
        <f t="shared" si="4"/>
        <v>758.5296166</v>
      </c>
      <c r="L20" s="29"/>
      <c r="M20" s="23"/>
    </row>
    <row r="21" ht="15.75" customHeight="1">
      <c r="A21" s="22">
        <v>20.0</v>
      </c>
      <c r="B21" s="22">
        <f t="shared" si="1"/>
        <v>2</v>
      </c>
      <c r="C21" s="23">
        <f>C20*(1+'Parâmetros'!$B$16)</f>
        <v>583.538415</v>
      </c>
      <c r="D21" s="29">
        <f t="shared" si="6"/>
        <v>583.538415</v>
      </c>
      <c r="E21" s="23">
        <f t="shared" si="5"/>
        <v>10973.27361</v>
      </c>
      <c r="F21" s="23">
        <f>E21*'Parâmetros'!$B$13</f>
        <v>87.50242474</v>
      </c>
      <c r="G21" s="23">
        <f t="shared" si="2"/>
        <v>11644.31445</v>
      </c>
      <c r="H21" s="23">
        <f>G21/(1+'Parâmetros'!$B$14)^A21</f>
        <v>10734.91046</v>
      </c>
      <c r="I21" s="25">
        <f>H21/'Parâmetros'!$B$7</f>
        <v>0.01073491046</v>
      </c>
      <c r="J21" s="23">
        <f t="shared" si="3"/>
        <v>10798.28241</v>
      </c>
      <c r="K21" s="23">
        <f t="shared" si="4"/>
        <v>846.0320413</v>
      </c>
      <c r="L21" s="29"/>
      <c r="M21" s="23"/>
    </row>
    <row r="22" ht="15.75" customHeight="1">
      <c r="A22" s="22">
        <v>21.0</v>
      </c>
      <c r="B22" s="22">
        <f t="shared" si="1"/>
        <v>2</v>
      </c>
      <c r="C22" s="23">
        <f>C21*(1+'Parâmetros'!$B$16)</f>
        <v>588.3029163</v>
      </c>
      <c r="D22" s="29">
        <f t="shared" si="6"/>
        <v>588.3029163</v>
      </c>
      <c r="E22" s="23">
        <f t="shared" si="5"/>
        <v>11644.31445</v>
      </c>
      <c r="F22" s="23">
        <f>E22*'Parâmetros'!$B$13</f>
        <v>92.85339862</v>
      </c>
      <c r="G22" s="23">
        <f t="shared" si="2"/>
        <v>12325.47077</v>
      </c>
      <c r="H22" s="23">
        <f>G22/(1+'Parâmetros'!$B$14)^A22</f>
        <v>11316.76357</v>
      </c>
      <c r="I22" s="25">
        <f>H22/'Parâmetros'!$B$7</f>
        <v>0.01131676357</v>
      </c>
      <c r="J22" s="23">
        <f t="shared" si="3"/>
        <v>11386.58533</v>
      </c>
      <c r="K22" s="23">
        <f t="shared" si="4"/>
        <v>938.8854399</v>
      </c>
      <c r="L22" s="29"/>
      <c r="M22" s="23"/>
    </row>
    <row r="23" ht="15.75" customHeight="1">
      <c r="A23" s="22">
        <v>22.0</v>
      </c>
      <c r="B23" s="22">
        <f t="shared" si="1"/>
        <v>2</v>
      </c>
      <c r="C23" s="23">
        <f>C22*(1+'Parâmetros'!$B$16)</f>
        <v>593.106319</v>
      </c>
      <c r="D23" s="29">
        <f t="shared" si="6"/>
        <v>593.106319</v>
      </c>
      <c r="E23" s="23">
        <f t="shared" si="5"/>
        <v>12325.47077</v>
      </c>
      <c r="F23" s="23">
        <f>E23*'Parâmetros'!$B$13</f>
        <v>98.28503473</v>
      </c>
      <c r="G23" s="23">
        <f t="shared" si="2"/>
        <v>13016.86212</v>
      </c>
      <c r="H23" s="23">
        <f>G23/(1+'Parâmetros'!$B$14)^A23</f>
        <v>11903.07736</v>
      </c>
      <c r="I23" s="25">
        <f>H23/'Parâmetros'!$B$7</f>
        <v>0.01190307736</v>
      </c>
      <c r="J23" s="23">
        <f t="shared" si="3"/>
        <v>11979.69164</v>
      </c>
      <c r="K23" s="23">
        <f t="shared" si="4"/>
        <v>1037.170475</v>
      </c>
      <c r="L23" s="29"/>
      <c r="M23" s="23"/>
    </row>
    <row r="24" ht="15.75" customHeight="1">
      <c r="A24" s="22">
        <v>23.0</v>
      </c>
      <c r="B24" s="22">
        <f t="shared" si="1"/>
        <v>2</v>
      </c>
      <c r="C24" s="23">
        <f>C23*(1+'Parâmetros'!$B$16)</f>
        <v>597.9489408</v>
      </c>
      <c r="D24" s="29">
        <f t="shared" si="6"/>
        <v>597.9489408</v>
      </c>
      <c r="E24" s="23">
        <f t="shared" si="5"/>
        <v>13016.86212</v>
      </c>
      <c r="F24" s="23">
        <f>E24*'Parâmetros'!$B$13</f>
        <v>103.7982865</v>
      </c>
      <c r="G24" s="23">
        <f t="shared" si="2"/>
        <v>13718.60935</v>
      </c>
      <c r="H24" s="23">
        <f>G24/(1+'Parâmetros'!$B$14)^A24</f>
        <v>12493.87815</v>
      </c>
      <c r="I24" s="25">
        <f>H24/'Parâmetros'!$B$7</f>
        <v>0.01249387815</v>
      </c>
      <c r="J24" s="23">
        <f t="shared" si="3"/>
        <v>12577.64059</v>
      </c>
      <c r="K24" s="23">
        <f t="shared" si="4"/>
        <v>1140.968761</v>
      </c>
      <c r="L24" s="29"/>
      <c r="M24" s="23"/>
    </row>
    <row r="25" ht="15.75" customHeight="1">
      <c r="A25" s="22">
        <v>24.0</v>
      </c>
      <c r="B25" s="22">
        <f t="shared" si="1"/>
        <v>2</v>
      </c>
      <c r="C25" s="23">
        <f>C24*(1+'Parâmetros'!$B$16)</f>
        <v>602.8311019</v>
      </c>
      <c r="D25" s="29">
        <f t="shared" si="6"/>
        <v>602.8311019</v>
      </c>
      <c r="E25" s="23">
        <f t="shared" si="5"/>
        <v>13718.60935</v>
      </c>
      <c r="F25" s="23">
        <f>E25*'Parâmetros'!$B$13</f>
        <v>109.3941174</v>
      </c>
      <c r="G25" s="23">
        <f t="shared" si="2"/>
        <v>14430.83457</v>
      </c>
      <c r="H25" s="23">
        <f>G25/(1+'Parâmetros'!$B$14)^A25</f>
        <v>13089.19235</v>
      </c>
      <c r="I25" s="25">
        <f>H25/'Parâmetros'!$B$7</f>
        <v>0.01308919235</v>
      </c>
      <c r="J25" s="23">
        <f t="shared" si="3"/>
        <v>13180.47169</v>
      </c>
      <c r="K25" s="23">
        <f t="shared" si="4"/>
        <v>1250.362879</v>
      </c>
      <c r="L25" s="29"/>
      <c r="M25" s="23"/>
    </row>
    <row r="26" ht="15.75" customHeight="1">
      <c r="A26" s="22">
        <v>25.0</v>
      </c>
      <c r="B26" s="22">
        <f t="shared" si="1"/>
        <v>3</v>
      </c>
      <c r="C26" s="23">
        <f>C25*(1+'Parâmetros'!$B$16)</f>
        <v>607.753125</v>
      </c>
      <c r="D26" s="29">
        <f t="shared" si="6"/>
        <v>607.753125</v>
      </c>
      <c r="E26" s="23">
        <f t="shared" si="5"/>
        <v>14430.83457</v>
      </c>
      <c r="F26" s="23">
        <f>E26*'Parâmetros'!$B$13</f>
        <v>115.0735013</v>
      </c>
      <c r="G26" s="23">
        <f t="shared" si="2"/>
        <v>15153.66119</v>
      </c>
      <c r="H26" s="23">
        <f>G26/(1+'Parâmetros'!$B$14)^A26</f>
        <v>13689.04654</v>
      </c>
      <c r="I26" s="25">
        <f>H26/'Parâmetros'!$B$7</f>
        <v>0.01368904654</v>
      </c>
      <c r="J26" s="23">
        <f t="shared" si="3"/>
        <v>13788.22481</v>
      </c>
      <c r="K26" s="23">
        <f t="shared" si="4"/>
        <v>1365.43638</v>
      </c>
      <c r="L26" s="29"/>
      <c r="M26" s="23"/>
    </row>
    <row r="27" ht="15.75" customHeight="1">
      <c r="A27" s="22">
        <v>26.0</v>
      </c>
      <c r="B27" s="22">
        <f t="shared" si="1"/>
        <v>3</v>
      </c>
      <c r="C27" s="23">
        <f>C26*(1+'Parâmetros'!$B$16)</f>
        <v>612.7153357</v>
      </c>
      <c r="D27" s="29">
        <f t="shared" si="6"/>
        <v>612.7153357</v>
      </c>
      <c r="E27" s="23">
        <f t="shared" si="5"/>
        <v>15153.66119</v>
      </c>
      <c r="F27" s="23">
        <f>E27*'Parâmetros'!$B$13</f>
        <v>120.8374224</v>
      </c>
      <c r="G27" s="23">
        <f t="shared" si="2"/>
        <v>15887.21395</v>
      </c>
      <c r="H27" s="23">
        <f>G27/(1+'Parâmetros'!$B$14)^A27</f>
        <v>14293.46742</v>
      </c>
      <c r="I27" s="25">
        <f>H27/'Parâmetros'!$B$7</f>
        <v>0.01429346742</v>
      </c>
      <c r="J27" s="23">
        <f t="shared" si="3"/>
        <v>14400.94015</v>
      </c>
      <c r="K27" s="23">
        <f t="shared" si="4"/>
        <v>1486.273802</v>
      </c>
      <c r="L27" s="29"/>
      <c r="M27" s="23"/>
    </row>
    <row r="28" ht="15.75" customHeight="1">
      <c r="A28" s="22">
        <v>27.0</v>
      </c>
      <c r="B28" s="22">
        <f t="shared" si="1"/>
        <v>3</v>
      </c>
      <c r="C28" s="23">
        <f>C27*(1+'Parâmetros'!$B$16)</f>
        <v>617.7180621</v>
      </c>
      <c r="D28" s="29">
        <f t="shared" si="6"/>
        <v>617.7180621</v>
      </c>
      <c r="E28" s="23">
        <f t="shared" si="5"/>
        <v>15887.21395</v>
      </c>
      <c r="F28" s="23">
        <f>E28*'Parâmetros'!$B$13</f>
        <v>126.6868751</v>
      </c>
      <c r="G28" s="23">
        <f t="shared" si="2"/>
        <v>16631.61889</v>
      </c>
      <c r="H28" s="23">
        <f>G28/(1+'Parâmetros'!$B$14)^A28</f>
        <v>14902.48185</v>
      </c>
      <c r="I28" s="25">
        <f>H28/'Parâmetros'!$B$7</f>
        <v>0.01490248185</v>
      </c>
      <c r="J28" s="23">
        <f t="shared" si="3"/>
        <v>15018.65821</v>
      </c>
      <c r="K28" s="23">
        <f t="shared" si="4"/>
        <v>1612.960677</v>
      </c>
      <c r="L28" s="29"/>
      <c r="M28" s="23"/>
    </row>
    <row r="29" ht="15.75" customHeight="1">
      <c r="A29" s="22">
        <v>28.0</v>
      </c>
      <c r="B29" s="22">
        <f t="shared" si="1"/>
        <v>3</v>
      </c>
      <c r="C29" s="23">
        <f>C28*(1+'Parâmetros'!$B$16)</f>
        <v>622.761635</v>
      </c>
      <c r="D29" s="29">
        <f t="shared" si="6"/>
        <v>622.761635</v>
      </c>
      <c r="E29" s="23">
        <f t="shared" si="5"/>
        <v>16631.61889</v>
      </c>
      <c r="F29" s="23">
        <f>E29*'Parâmetros'!$B$13</f>
        <v>132.6228646</v>
      </c>
      <c r="G29" s="23">
        <f t="shared" si="2"/>
        <v>17387.00339</v>
      </c>
      <c r="H29" s="23">
        <f>G29/(1+'Parâmetros'!$B$14)^A29</f>
        <v>15516.11683</v>
      </c>
      <c r="I29" s="25">
        <f>H29/'Parâmetros'!$B$7</f>
        <v>0.01551611683</v>
      </c>
      <c r="J29" s="23">
        <f t="shared" si="3"/>
        <v>15641.41984</v>
      </c>
      <c r="K29" s="23">
        <f t="shared" si="4"/>
        <v>1745.583542</v>
      </c>
      <c r="L29" s="29"/>
      <c r="M29" s="23"/>
    </row>
    <row r="30" ht="15.75" customHeight="1">
      <c r="A30" s="22">
        <v>29.0</v>
      </c>
      <c r="B30" s="22">
        <f t="shared" si="1"/>
        <v>3</v>
      </c>
      <c r="C30" s="23">
        <f>C29*(1+'Parâmetros'!$B$16)</f>
        <v>627.8463878</v>
      </c>
      <c r="D30" s="29">
        <f t="shared" si="6"/>
        <v>627.8463878</v>
      </c>
      <c r="E30" s="23">
        <f t="shared" si="5"/>
        <v>17387.00339</v>
      </c>
      <c r="F30" s="23">
        <f>E30*'Parâmetros'!$B$13</f>
        <v>138.6464066</v>
      </c>
      <c r="G30" s="23">
        <f t="shared" si="2"/>
        <v>18153.49618</v>
      </c>
      <c r="H30" s="23">
        <f>G30/(1+'Parâmetros'!$B$14)^A30</f>
        <v>16134.39947</v>
      </c>
      <c r="I30" s="25">
        <f>H30/'Parâmetros'!$B$7</f>
        <v>0.01613439947</v>
      </c>
      <c r="J30" s="23">
        <f t="shared" si="3"/>
        <v>16269.26623</v>
      </c>
      <c r="K30" s="23">
        <f t="shared" si="4"/>
        <v>1884.229949</v>
      </c>
      <c r="L30" s="29"/>
      <c r="M30" s="23"/>
    </row>
    <row r="31" ht="15.75" customHeight="1">
      <c r="A31" s="22">
        <v>30.0</v>
      </c>
      <c r="B31" s="22">
        <f t="shared" si="1"/>
        <v>3</v>
      </c>
      <c r="C31" s="23">
        <f>C30*(1+'Parâmetros'!$B$16)</f>
        <v>632.972657</v>
      </c>
      <c r="D31" s="29">
        <f t="shared" si="6"/>
        <v>632.972657</v>
      </c>
      <c r="E31" s="23">
        <f t="shared" si="5"/>
        <v>18153.49618</v>
      </c>
      <c r="F31" s="23">
        <f>E31*'Parâmetros'!$B$13</f>
        <v>144.7585278</v>
      </c>
      <c r="G31" s="23">
        <f t="shared" si="2"/>
        <v>18931.22737</v>
      </c>
      <c r="H31" s="23">
        <f>G31/(1+'Parâmetros'!$B$14)^A31</f>
        <v>16757.35707</v>
      </c>
      <c r="I31" s="25">
        <f>H31/'Parâmetros'!$B$7</f>
        <v>0.01675735707</v>
      </c>
      <c r="J31" s="23">
        <f t="shared" si="3"/>
        <v>16902.23889</v>
      </c>
      <c r="K31" s="23">
        <f t="shared" si="4"/>
        <v>2028.988476</v>
      </c>
      <c r="L31" s="29"/>
      <c r="M31" s="23"/>
    </row>
    <row r="32" ht="15.75" customHeight="1">
      <c r="A32" s="22">
        <v>31.0</v>
      </c>
      <c r="B32" s="22">
        <f t="shared" si="1"/>
        <v>3</v>
      </c>
      <c r="C32" s="23">
        <f>C31*(1+'Parâmetros'!$B$16)</f>
        <v>638.1407812</v>
      </c>
      <c r="D32" s="29">
        <f t="shared" si="6"/>
        <v>638.1407812</v>
      </c>
      <c r="E32" s="23">
        <f t="shared" si="5"/>
        <v>18931.22737</v>
      </c>
      <c r="F32" s="23">
        <f>E32*'Parâmetros'!$B$13</f>
        <v>150.9602655</v>
      </c>
      <c r="G32" s="23">
        <f t="shared" si="2"/>
        <v>19720.32841</v>
      </c>
      <c r="H32" s="23">
        <f>G32/(1+'Parâmetros'!$B$14)^A32</f>
        <v>17385.01704</v>
      </c>
      <c r="I32" s="25">
        <f>H32/'Parâmetros'!$B$7</f>
        <v>0.01738501704</v>
      </c>
      <c r="J32" s="23">
        <f t="shared" si="3"/>
        <v>17540.37967</v>
      </c>
      <c r="K32" s="23">
        <f t="shared" si="4"/>
        <v>2179.948742</v>
      </c>
      <c r="L32" s="29"/>
      <c r="M32" s="23"/>
    </row>
    <row r="33" ht="15.75" customHeight="1">
      <c r="A33" s="22">
        <v>32.0</v>
      </c>
      <c r="B33" s="22">
        <f t="shared" si="1"/>
        <v>3</v>
      </c>
      <c r="C33" s="23">
        <f>C32*(1+'Parâmetros'!$B$16)</f>
        <v>643.3511025</v>
      </c>
      <c r="D33" s="29">
        <f t="shared" si="6"/>
        <v>643.3511025</v>
      </c>
      <c r="E33" s="23">
        <f t="shared" si="5"/>
        <v>19720.32841</v>
      </c>
      <c r="F33" s="23">
        <f>E33*'Parâmetros'!$B$13</f>
        <v>157.2526681</v>
      </c>
      <c r="G33" s="23">
        <f t="shared" si="2"/>
        <v>20520.93218</v>
      </c>
      <c r="H33" s="23">
        <f>G33/(1+'Parâmetros'!$B$14)^A33</f>
        <v>18017.40694</v>
      </c>
      <c r="I33" s="25">
        <f>H33/'Parâmetros'!$B$7</f>
        <v>0.01801740694</v>
      </c>
      <c r="J33" s="23">
        <f t="shared" si="3"/>
        <v>18183.73077</v>
      </c>
      <c r="K33" s="23">
        <f t="shared" si="4"/>
        <v>2337.20141</v>
      </c>
      <c r="L33" s="29"/>
      <c r="M33" s="23"/>
    </row>
    <row r="34" ht="15.75" customHeight="1">
      <c r="A34" s="22">
        <v>33.0</v>
      </c>
      <c r="B34" s="22">
        <f t="shared" si="1"/>
        <v>3</v>
      </c>
      <c r="C34" s="23">
        <f>C33*(1+'Parâmetros'!$B$16)</f>
        <v>648.6039652</v>
      </c>
      <c r="D34" s="29">
        <f t="shared" si="6"/>
        <v>648.6039652</v>
      </c>
      <c r="E34" s="23">
        <f t="shared" si="5"/>
        <v>20520.93218</v>
      </c>
      <c r="F34" s="23">
        <f>E34*'Parâmetros'!$B$13</f>
        <v>163.636795</v>
      </c>
      <c r="G34" s="23">
        <f t="shared" si="2"/>
        <v>21333.17294</v>
      </c>
      <c r="H34" s="23">
        <f>G34/(1+'Parâmetros'!$B$14)^A34</f>
        <v>18654.55449</v>
      </c>
      <c r="I34" s="25">
        <f>H34/'Parâmetros'!$B$7</f>
        <v>0.01865455449</v>
      </c>
      <c r="J34" s="23">
        <f t="shared" si="3"/>
        <v>18832.33474</v>
      </c>
      <c r="K34" s="23">
        <f t="shared" si="4"/>
        <v>2500.838205</v>
      </c>
      <c r="L34" s="29"/>
      <c r="M34" s="23"/>
    </row>
    <row r="35" ht="15.75" customHeight="1">
      <c r="A35" s="22">
        <v>34.0</v>
      </c>
      <c r="B35" s="22">
        <f t="shared" si="1"/>
        <v>3</v>
      </c>
      <c r="C35" s="23">
        <f>C34*(1+'Parâmetros'!$B$16)</f>
        <v>653.8997167</v>
      </c>
      <c r="D35" s="29">
        <f t="shared" si="6"/>
        <v>653.8997167</v>
      </c>
      <c r="E35" s="23">
        <f t="shared" si="5"/>
        <v>21333.17294</v>
      </c>
      <c r="F35" s="23">
        <f>E35*'Parâmetros'!$B$13</f>
        <v>170.1137168</v>
      </c>
      <c r="G35" s="23">
        <f t="shared" si="2"/>
        <v>22157.18638</v>
      </c>
      <c r="H35" s="23">
        <f>G35/(1+'Parâmetros'!$B$14)^A35</f>
        <v>19296.48754</v>
      </c>
      <c r="I35" s="25">
        <f>H35/'Parâmetros'!$B$7</f>
        <v>0.01929648754</v>
      </c>
      <c r="J35" s="23">
        <f t="shared" si="3"/>
        <v>19486.23446</v>
      </c>
      <c r="K35" s="23">
        <f t="shared" si="4"/>
        <v>2670.951922</v>
      </c>
      <c r="L35" s="29"/>
      <c r="M35" s="23"/>
    </row>
    <row r="36" ht="15.75" customHeight="1">
      <c r="A36" s="22">
        <v>35.0</v>
      </c>
      <c r="B36" s="22">
        <f t="shared" si="1"/>
        <v>3</v>
      </c>
      <c r="C36" s="23">
        <f>C35*(1+'Parâmetros'!$B$16)</f>
        <v>659.2387072</v>
      </c>
      <c r="D36" s="29">
        <f t="shared" si="6"/>
        <v>659.2387072</v>
      </c>
      <c r="E36" s="23">
        <f t="shared" si="5"/>
        <v>22157.18638</v>
      </c>
      <c r="F36" s="23">
        <f>E36*'Parâmetros'!$B$13</f>
        <v>176.6845157</v>
      </c>
      <c r="G36" s="23">
        <f t="shared" si="2"/>
        <v>22993.1096</v>
      </c>
      <c r="H36" s="23">
        <f>G36/(1+'Parâmetros'!$B$14)^A36</f>
        <v>19943.2341</v>
      </c>
      <c r="I36" s="25">
        <f>H36/'Parâmetros'!$B$7</f>
        <v>0.0199432341</v>
      </c>
      <c r="J36" s="23">
        <f t="shared" si="3"/>
        <v>20145.47316</v>
      </c>
      <c r="K36" s="23">
        <f t="shared" si="4"/>
        <v>2847.636437</v>
      </c>
      <c r="L36" s="29"/>
      <c r="M36" s="23"/>
    </row>
    <row r="37" ht="15.75" customHeight="1">
      <c r="A37" s="22">
        <v>36.0</v>
      </c>
      <c r="B37" s="22">
        <f t="shared" si="1"/>
        <v>3</v>
      </c>
      <c r="C37" s="23">
        <f>C36*(1+'Parâmetros'!$B$16)</f>
        <v>664.6212898</v>
      </c>
      <c r="D37" s="29">
        <f t="shared" si="6"/>
        <v>664.6212898</v>
      </c>
      <c r="E37" s="23">
        <f t="shared" si="5"/>
        <v>22993.1096</v>
      </c>
      <c r="F37" s="23">
        <f>E37*'Parâmetros'!$B$13</f>
        <v>183.3502848</v>
      </c>
      <c r="G37" s="23">
        <f t="shared" si="2"/>
        <v>23841.08117</v>
      </c>
      <c r="H37" s="23">
        <f>G37/(1+'Parâmetros'!$B$14)^A37</f>
        <v>20594.82231</v>
      </c>
      <c r="I37" s="25">
        <f>H37/'Parâmetros'!$B$7</f>
        <v>0.02059482231</v>
      </c>
      <c r="J37" s="23">
        <f t="shared" si="3"/>
        <v>20810.09445</v>
      </c>
      <c r="K37" s="23">
        <f t="shared" si="4"/>
        <v>3030.986722</v>
      </c>
      <c r="L37" s="29"/>
      <c r="M37" s="23"/>
    </row>
    <row r="38" ht="15.75" customHeight="1">
      <c r="A38" s="22">
        <v>37.0</v>
      </c>
      <c r="B38" s="22">
        <f t="shared" si="1"/>
        <v>4</v>
      </c>
      <c r="C38" s="23">
        <f>C37*(1+'Parâmetros'!$B$16)</f>
        <v>670.0478203</v>
      </c>
      <c r="D38" s="29">
        <f t="shared" si="6"/>
        <v>670.0478203</v>
      </c>
      <c r="E38" s="23">
        <f t="shared" si="5"/>
        <v>23841.08117</v>
      </c>
      <c r="F38" s="23">
        <f>E38*'Parâmetros'!$B$13</f>
        <v>190.1121293</v>
      </c>
      <c r="G38" s="23">
        <f t="shared" si="2"/>
        <v>24701.24112</v>
      </c>
      <c r="H38" s="23">
        <f>G38/(1+'Parâmetros'!$B$14)^A38</f>
        <v>21251.28047</v>
      </c>
      <c r="I38" s="25">
        <f>H38/'Parâmetros'!$B$7</f>
        <v>0.02125128047</v>
      </c>
      <c r="J38" s="23">
        <f t="shared" si="3"/>
        <v>21480.14227</v>
      </c>
      <c r="K38" s="23">
        <f t="shared" si="4"/>
        <v>3221.098852</v>
      </c>
      <c r="L38" s="29"/>
      <c r="M38" s="23"/>
    </row>
    <row r="39" ht="15.75" customHeight="1">
      <c r="A39" s="22">
        <v>38.0</v>
      </c>
      <c r="B39" s="22">
        <f t="shared" si="1"/>
        <v>4</v>
      </c>
      <c r="C39" s="23">
        <f>C38*(1+'Parâmetros'!$B$16)</f>
        <v>675.5186576</v>
      </c>
      <c r="D39" s="29">
        <f t="shared" si="6"/>
        <v>675.5186576</v>
      </c>
      <c r="E39" s="23">
        <f t="shared" si="5"/>
        <v>24701.24112</v>
      </c>
      <c r="F39" s="23">
        <f>E39*'Parâmetros'!$B$13</f>
        <v>196.9711655</v>
      </c>
      <c r="G39" s="23">
        <f t="shared" si="2"/>
        <v>25573.73095</v>
      </c>
      <c r="H39" s="23">
        <f>G39/(1+'Parâmetros'!$B$14)^A39</f>
        <v>21912.63702</v>
      </c>
      <c r="I39" s="25">
        <f>H39/'Parâmetros'!$B$7</f>
        <v>0.02191263702</v>
      </c>
      <c r="J39" s="23">
        <f t="shared" si="3"/>
        <v>22155.66093</v>
      </c>
      <c r="K39" s="23">
        <f t="shared" si="4"/>
        <v>3418.070017</v>
      </c>
      <c r="L39" s="29"/>
      <c r="M39" s="23"/>
    </row>
    <row r="40" ht="15.75" customHeight="1">
      <c r="A40" s="22">
        <v>39.0</v>
      </c>
      <c r="B40" s="22">
        <f t="shared" si="1"/>
        <v>4</v>
      </c>
      <c r="C40" s="23">
        <f>C39*(1+'Parâmetros'!$B$16)</f>
        <v>681.0341635</v>
      </c>
      <c r="D40" s="29">
        <f t="shared" si="6"/>
        <v>681.0341635</v>
      </c>
      <c r="E40" s="23">
        <f t="shared" si="5"/>
        <v>25573.73095</v>
      </c>
      <c r="F40" s="23">
        <f>E40*'Parâmetros'!$B$13</f>
        <v>203.9285219</v>
      </c>
      <c r="G40" s="23">
        <f t="shared" si="2"/>
        <v>26458.69363</v>
      </c>
      <c r="H40" s="23">
        <f>G40/(1+'Parâmetros'!$B$14)^A40</f>
        <v>22578.92056</v>
      </c>
      <c r="I40" s="25">
        <f>H40/'Parâmetros'!$B$7</f>
        <v>0.02257892056</v>
      </c>
      <c r="J40" s="23">
        <f t="shared" si="3"/>
        <v>22836.69509</v>
      </c>
      <c r="K40" s="23">
        <f t="shared" si="4"/>
        <v>3621.998539</v>
      </c>
      <c r="L40" s="29"/>
      <c r="M40" s="23"/>
    </row>
    <row r="41" ht="15.75" customHeight="1">
      <c r="A41" s="22">
        <v>40.0</v>
      </c>
      <c r="B41" s="22">
        <f t="shared" si="1"/>
        <v>4</v>
      </c>
      <c r="C41" s="23">
        <f>C40*(1+'Parâmetros'!$B$16)</f>
        <v>686.5947026</v>
      </c>
      <c r="D41" s="29">
        <f t="shared" si="6"/>
        <v>686.5947026</v>
      </c>
      <c r="E41" s="23">
        <f t="shared" si="5"/>
        <v>26458.69363</v>
      </c>
      <c r="F41" s="23">
        <f>E41*'Parâmetros'!$B$13</f>
        <v>210.9853386</v>
      </c>
      <c r="G41" s="23">
        <f t="shared" si="2"/>
        <v>27356.27367</v>
      </c>
      <c r="H41" s="23">
        <f>G41/(1+'Parâmetros'!$B$14)^A41</f>
        <v>23250.15984</v>
      </c>
      <c r="I41" s="25">
        <f>H41/'Parâmetros'!$B$7</f>
        <v>0.02325015984</v>
      </c>
      <c r="J41" s="23">
        <f t="shared" si="3"/>
        <v>23523.2898</v>
      </c>
      <c r="K41" s="23">
        <f t="shared" si="4"/>
        <v>3832.983877</v>
      </c>
      <c r="L41" s="29"/>
      <c r="M41" s="23"/>
    </row>
    <row r="42" ht="15.75" customHeight="1">
      <c r="A42" s="22">
        <v>41.0</v>
      </c>
      <c r="B42" s="22">
        <f t="shared" si="1"/>
        <v>4</v>
      </c>
      <c r="C42" s="23">
        <f>C41*(1+'Parâmetros'!$B$16)</f>
        <v>692.2006426</v>
      </c>
      <c r="D42" s="29">
        <f t="shared" si="6"/>
        <v>692.2006426</v>
      </c>
      <c r="E42" s="23">
        <f t="shared" si="5"/>
        <v>27356.27367</v>
      </c>
      <c r="F42" s="23">
        <f>E42*'Parâmetros'!$B$13</f>
        <v>218.1427679</v>
      </c>
      <c r="G42" s="23">
        <f t="shared" si="2"/>
        <v>28266.61708</v>
      </c>
      <c r="H42" s="23">
        <f>G42/(1+'Parâmetros'!$B$14)^A42</f>
        <v>23926.38374</v>
      </c>
      <c r="I42" s="25">
        <f>H42/'Parâmetros'!$B$7</f>
        <v>0.02392638374</v>
      </c>
      <c r="J42" s="23">
        <f t="shared" si="3"/>
        <v>24215.49044</v>
      </c>
      <c r="K42" s="23">
        <f t="shared" si="4"/>
        <v>4051.126645</v>
      </c>
      <c r="L42" s="29"/>
      <c r="M42" s="23"/>
    </row>
    <row r="43" ht="15.75" customHeight="1">
      <c r="A43" s="22">
        <v>42.0</v>
      </c>
      <c r="B43" s="22">
        <f t="shared" si="1"/>
        <v>4</v>
      </c>
      <c r="C43" s="23">
        <f>C42*(1+'Parâmetros'!$B$16)</f>
        <v>697.8523543</v>
      </c>
      <c r="D43" s="29">
        <f t="shared" si="6"/>
        <v>697.8523543</v>
      </c>
      <c r="E43" s="23">
        <f t="shared" si="5"/>
        <v>28266.61708</v>
      </c>
      <c r="F43" s="23">
        <f>E43*'Parâmetros'!$B$13</f>
        <v>225.4019741</v>
      </c>
      <c r="G43" s="23">
        <f t="shared" si="2"/>
        <v>29189.87141</v>
      </c>
      <c r="H43" s="23">
        <f>G43/(1+'Parâmetros'!$B$14)^A43</f>
        <v>24607.62133</v>
      </c>
      <c r="I43" s="25">
        <f>H43/'Parâmetros'!$B$7</f>
        <v>0.02460762133</v>
      </c>
      <c r="J43" s="23">
        <f t="shared" si="3"/>
        <v>24913.34279</v>
      </c>
      <c r="K43" s="23">
        <f t="shared" si="4"/>
        <v>4276.528619</v>
      </c>
      <c r="L43" s="29"/>
      <c r="M43" s="23"/>
    </row>
    <row r="44" ht="15.75" customHeight="1">
      <c r="A44" s="22">
        <v>43.0</v>
      </c>
      <c r="B44" s="22">
        <f t="shared" si="1"/>
        <v>4</v>
      </c>
      <c r="C44" s="23">
        <f>C43*(1+'Parâmetros'!$B$16)</f>
        <v>703.5502113</v>
      </c>
      <c r="D44" s="29">
        <f t="shared" si="6"/>
        <v>703.5502113</v>
      </c>
      <c r="E44" s="23">
        <f t="shared" si="5"/>
        <v>29189.87141</v>
      </c>
      <c r="F44" s="23">
        <f>E44*'Parâmetros'!$B$13</f>
        <v>232.7641337</v>
      </c>
      <c r="G44" s="23">
        <f t="shared" si="2"/>
        <v>30126.18576</v>
      </c>
      <c r="H44" s="23">
        <f>G44/(1+'Parâmetros'!$B$14)^A44</f>
        <v>25293.90179</v>
      </c>
      <c r="I44" s="25">
        <f>H44/'Parâmetros'!$B$7</f>
        <v>0.02529390179</v>
      </c>
      <c r="J44" s="23">
        <f t="shared" si="3"/>
        <v>25616.893</v>
      </c>
      <c r="K44" s="23">
        <f t="shared" si="4"/>
        <v>4509.292753</v>
      </c>
      <c r="L44" s="29"/>
      <c r="M44" s="23"/>
    </row>
    <row r="45" ht="15.75" customHeight="1">
      <c r="A45" s="22">
        <v>44.0</v>
      </c>
      <c r="B45" s="22">
        <f t="shared" si="1"/>
        <v>4</v>
      </c>
      <c r="C45" s="23">
        <f>C44*(1+'Parâmetros'!$B$16)</f>
        <v>709.2945905</v>
      </c>
      <c r="D45" s="29">
        <f t="shared" si="6"/>
        <v>709.2945905</v>
      </c>
      <c r="E45" s="23">
        <f t="shared" si="5"/>
        <v>30126.18576</v>
      </c>
      <c r="F45" s="23">
        <f>E45*'Parâmetros'!$B$13</f>
        <v>240.2304358</v>
      </c>
      <c r="G45" s="23">
        <f t="shared" si="2"/>
        <v>31075.71078</v>
      </c>
      <c r="H45" s="23">
        <f>G45/(1+'Parâmetros'!$B$14)^A45</f>
        <v>25985.25448</v>
      </c>
      <c r="I45" s="25">
        <f>H45/'Parâmetros'!$B$7</f>
        <v>0.02598525448</v>
      </c>
      <c r="J45" s="23">
        <f t="shared" si="3"/>
        <v>26326.18759</v>
      </c>
      <c r="K45" s="23">
        <f t="shared" si="4"/>
        <v>4749.523189</v>
      </c>
      <c r="L45" s="29"/>
      <c r="M45" s="23"/>
    </row>
    <row r="46" ht="15.75" customHeight="1">
      <c r="A46" s="22">
        <v>45.0</v>
      </c>
      <c r="B46" s="22">
        <f t="shared" si="1"/>
        <v>4</v>
      </c>
      <c r="C46" s="23">
        <f>C45*(1+'Parâmetros'!$B$16)</f>
        <v>715.0858716</v>
      </c>
      <c r="D46" s="29">
        <f t="shared" si="6"/>
        <v>715.0858716</v>
      </c>
      <c r="E46" s="23">
        <f t="shared" si="5"/>
        <v>31075.71078</v>
      </c>
      <c r="F46" s="23">
        <f>E46*'Parâmetros'!$B$13</f>
        <v>247.8020817</v>
      </c>
      <c r="G46" s="23">
        <f t="shared" si="2"/>
        <v>32038.59874</v>
      </c>
      <c r="H46" s="23">
        <f>G46/(1+'Parâmetros'!$B$14)^A46</f>
        <v>26681.7089</v>
      </c>
      <c r="I46" s="25">
        <f>H46/'Parâmetros'!$B$7</f>
        <v>0.0266817089</v>
      </c>
      <c r="J46" s="23">
        <f t="shared" si="3"/>
        <v>27041.27347</v>
      </c>
      <c r="K46" s="23">
        <f t="shared" si="4"/>
        <v>4997.325271</v>
      </c>
      <c r="L46" s="29"/>
      <c r="M46" s="23"/>
    </row>
    <row r="47" ht="15.75" customHeight="1">
      <c r="A47" s="22">
        <v>46.0</v>
      </c>
      <c r="B47" s="22">
        <f t="shared" si="1"/>
        <v>4</v>
      </c>
      <c r="C47" s="23">
        <f>C46*(1+'Parâmetros'!$B$16)</f>
        <v>720.9244377</v>
      </c>
      <c r="D47" s="29">
        <f t="shared" si="6"/>
        <v>720.9244377</v>
      </c>
      <c r="E47" s="23">
        <f t="shared" si="5"/>
        <v>32038.59874</v>
      </c>
      <c r="F47" s="23">
        <f>E47*'Parâmetros'!$B$13</f>
        <v>255.4802855</v>
      </c>
      <c r="G47" s="23">
        <f t="shared" si="2"/>
        <v>33015.00346</v>
      </c>
      <c r="H47" s="23">
        <f>G47/(1+'Parâmetros'!$B$14)^A47</f>
        <v>27383.29472</v>
      </c>
      <c r="I47" s="25">
        <f>H47/'Parâmetros'!$B$7</f>
        <v>0.02738329472</v>
      </c>
      <c r="J47" s="23">
        <f t="shared" si="3"/>
        <v>27762.1979</v>
      </c>
      <c r="K47" s="23">
        <f t="shared" si="4"/>
        <v>5252.805556</v>
      </c>
      <c r="L47" s="29"/>
      <c r="M47" s="23"/>
    </row>
    <row r="48" ht="15.75" customHeight="1">
      <c r="A48" s="22">
        <v>47.0</v>
      </c>
      <c r="B48" s="22">
        <f t="shared" si="1"/>
        <v>4</v>
      </c>
      <c r="C48" s="23">
        <f>C47*(1+'Parâmetros'!$B$16)</f>
        <v>726.8106747</v>
      </c>
      <c r="D48" s="29">
        <f t="shared" si="6"/>
        <v>726.8106747</v>
      </c>
      <c r="E48" s="23">
        <f t="shared" si="5"/>
        <v>33015.00346</v>
      </c>
      <c r="F48" s="23">
        <f>E48*'Parâmetros'!$B$13</f>
        <v>263.2662739</v>
      </c>
      <c r="G48" s="23">
        <f t="shared" si="2"/>
        <v>34005.08041</v>
      </c>
      <c r="H48" s="23">
        <f>G48/(1+'Parâmetros'!$B$14)^A48</f>
        <v>28090.04175</v>
      </c>
      <c r="I48" s="25">
        <f>H48/'Parâmetros'!$B$7</f>
        <v>0.02809004175</v>
      </c>
      <c r="J48" s="23">
        <f t="shared" si="3"/>
        <v>28489.00858</v>
      </c>
      <c r="K48" s="23">
        <f t="shared" si="4"/>
        <v>5516.07183</v>
      </c>
      <c r="L48" s="29"/>
      <c r="M48" s="23"/>
    </row>
    <row r="49" ht="15.75" customHeight="1">
      <c r="A49" s="22">
        <v>48.0</v>
      </c>
      <c r="B49" s="22">
        <f t="shared" si="1"/>
        <v>4</v>
      </c>
      <c r="C49" s="23">
        <f>C48*(1+'Parâmetros'!$B$16)</f>
        <v>732.744972</v>
      </c>
      <c r="D49" s="29">
        <f t="shared" si="6"/>
        <v>732.744972</v>
      </c>
      <c r="E49" s="23">
        <f t="shared" si="5"/>
        <v>34005.08041</v>
      </c>
      <c r="F49" s="23">
        <f>E49*'Parâmetros'!$B$13</f>
        <v>271.1612865</v>
      </c>
      <c r="G49" s="23">
        <f t="shared" si="2"/>
        <v>35008.98667</v>
      </c>
      <c r="H49" s="23">
        <f>G49/(1+'Parâmetros'!$B$14)^A49</f>
        <v>28801.97997</v>
      </c>
      <c r="I49" s="25">
        <f>H49/'Parâmetros'!$B$7</f>
        <v>0.02880197997</v>
      </c>
      <c r="J49" s="23">
        <f t="shared" si="3"/>
        <v>29221.75355</v>
      </c>
      <c r="K49" s="23">
        <f t="shared" si="4"/>
        <v>5787.233117</v>
      </c>
      <c r="L49" s="29"/>
      <c r="M49" s="23"/>
    </row>
    <row r="50" ht="15.75" customHeight="1">
      <c r="A50" s="22">
        <v>49.0</v>
      </c>
      <c r="B50" s="22">
        <f t="shared" si="1"/>
        <v>5</v>
      </c>
      <c r="C50" s="23">
        <f>C49*(1+'Parâmetros'!$B$16)</f>
        <v>738.7277219</v>
      </c>
      <c r="D50" s="29">
        <f t="shared" si="6"/>
        <v>738.7277219</v>
      </c>
      <c r="E50" s="23">
        <f t="shared" si="5"/>
        <v>35008.98667</v>
      </c>
      <c r="F50" s="23">
        <f>E50*'Parâmetros'!$B$13</f>
        <v>279.166576</v>
      </c>
      <c r="G50" s="23">
        <f t="shared" si="2"/>
        <v>36026.88097</v>
      </c>
      <c r="H50" s="23">
        <f>G50/(1+'Parâmetros'!$B$14)^A50</f>
        <v>29519.1395</v>
      </c>
      <c r="I50" s="25">
        <f>H50/'Parâmetros'!$B$7</f>
        <v>0.0295191395</v>
      </c>
      <c r="J50" s="23">
        <f t="shared" si="3"/>
        <v>29960.48127</v>
      </c>
      <c r="K50" s="23">
        <f t="shared" si="4"/>
        <v>6066.399692</v>
      </c>
      <c r="L50" s="29"/>
      <c r="M50" s="23"/>
    </row>
    <row r="51" ht="15.75" customHeight="1">
      <c r="A51" s="22">
        <v>50.0</v>
      </c>
      <c r="B51" s="22">
        <f t="shared" si="1"/>
        <v>5</v>
      </c>
      <c r="C51" s="23">
        <f>C50*(1+'Parâmetros'!$B$16)</f>
        <v>744.75932</v>
      </c>
      <c r="D51" s="29">
        <f t="shared" si="6"/>
        <v>744.75932</v>
      </c>
      <c r="E51" s="23">
        <f t="shared" si="5"/>
        <v>36026.88097</v>
      </c>
      <c r="F51" s="23">
        <f>E51*'Parâmetros'!$B$13</f>
        <v>287.283408</v>
      </c>
      <c r="G51" s="23">
        <f t="shared" si="2"/>
        <v>37058.92369</v>
      </c>
      <c r="H51" s="23">
        <f>G51/(1+'Parâmetros'!$B$14)^A51</f>
        <v>30241.55063</v>
      </c>
      <c r="I51" s="25">
        <f>H51/'Parâmetros'!$B$7</f>
        <v>0.03024155063</v>
      </c>
      <c r="J51" s="23">
        <f t="shared" si="3"/>
        <v>30705.24059</v>
      </c>
      <c r="K51" s="23">
        <f t="shared" si="4"/>
        <v>6353.6831</v>
      </c>
      <c r="L51" s="29"/>
      <c r="M51" s="23"/>
    </row>
    <row r="52" ht="15.75" customHeight="1">
      <c r="A52" s="22">
        <v>51.0</v>
      </c>
      <c r="B52" s="22">
        <f t="shared" si="1"/>
        <v>5</v>
      </c>
      <c r="C52" s="23">
        <f>C51*(1+'Parâmetros'!$B$16)</f>
        <v>750.8401652</v>
      </c>
      <c r="D52" s="29">
        <f t="shared" si="6"/>
        <v>750.8401652</v>
      </c>
      <c r="E52" s="23">
        <f t="shared" si="5"/>
        <v>37058.92369</v>
      </c>
      <c r="F52" s="23">
        <f>E52*'Parâmetros'!$B$13</f>
        <v>295.5130617</v>
      </c>
      <c r="G52" s="23">
        <f t="shared" si="2"/>
        <v>38105.27692</v>
      </c>
      <c r="H52" s="23">
        <f>G52/(1+'Parâmetros'!$B$14)^A52</f>
        <v>30969.2438</v>
      </c>
      <c r="I52" s="25">
        <f>H52/'Parâmetros'!$B$7</f>
        <v>0.0309692438</v>
      </c>
      <c r="J52" s="23">
        <f t="shared" si="3"/>
        <v>31456.08076</v>
      </c>
      <c r="K52" s="23">
        <f t="shared" si="4"/>
        <v>6649.196162</v>
      </c>
      <c r="L52" s="29"/>
      <c r="M52" s="23"/>
    </row>
    <row r="53" ht="15.75" customHeight="1">
      <c r="A53" s="22">
        <v>52.0</v>
      </c>
      <c r="B53" s="22">
        <f t="shared" si="1"/>
        <v>5</v>
      </c>
      <c r="C53" s="23">
        <f>C52*(1+'Parâmetros'!$B$16)</f>
        <v>756.9706596</v>
      </c>
      <c r="D53" s="29">
        <f t="shared" si="6"/>
        <v>756.9706596</v>
      </c>
      <c r="E53" s="23">
        <f t="shared" si="5"/>
        <v>38105.27692</v>
      </c>
      <c r="F53" s="23">
        <f>E53*'Parâmetros'!$B$13</f>
        <v>303.8568292</v>
      </c>
      <c r="G53" s="23">
        <f t="shared" si="2"/>
        <v>39166.10441</v>
      </c>
      <c r="H53" s="23">
        <f>G53/(1+'Parâmetros'!$B$14)^A53</f>
        <v>31702.24963</v>
      </c>
      <c r="I53" s="25">
        <f>H53/'Parâmetros'!$B$7</f>
        <v>0.03170224963</v>
      </c>
      <c r="J53" s="23">
        <f t="shared" si="3"/>
        <v>32213.05142</v>
      </c>
      <c r="K53" s="23">
        <f t="shared" si="4"/>
        <v>6953.052991</v>
      </c>
      <c r="L53" s="29"/>
      <c r="M53" s="23"/>
    </row>
    <row r="54" ht="15.75" customHeight="1">
      <c r="A54" s="22">
        <v>53.0</v>
      </c>
      <c r="B54" s="22">
        <f t="shared" si="1"/>
        <v>5</v>
      </c>
      <c r="C54" s="23">
        <f>C53*(1+'Parâmetros'!$B$16)</f>
        <v>763.1512085</v>
      </c>
      <c r="D54" s="29">
        <f t="shared" si="6"/>
        <v>763.1512085</v>
      </c>
      <c r="E54" s="23">
        <f t="shared" si="5"/>
        <v>39166.10441</v>
      </c>
      <c r="F54" s="23">
        <f>E54*'Parâmetros'!$B$13</f>
        <v>312.3160166</v>
      </c>
      <c r="G54" s="23">
        <f t="shared" si="2"/>
        <v>40241.57163</v>
      </c>
      <c r="H54" s="23">
        <f>G54/(1+'Parâmetros'!$B$14)^A54</f>
        <v>32440.59887</v>
      </c>
      <c r="I54" s="25">
        <f>H54/'Parâmetros'!$B$7</f>
        <v>0.03244059887</v>
      </c>
      <c r="J54" s="23">
        <f t="shared" si="3"/>
        <v>32976.20263</v>
      </c>
      <c r="K54" s="23">
        <f t="shared" si="4"/>
        <v>7265.369008</v>
      </c>
      <c r="L54" s="29"/>
      <c r="M54" s="23"/>
    </row>
    <row r="55" ht="15.75" customHeight="1">
      <c r="A55" s="22">
        <v>54.0</v>
      </c>
      <c r="B55" s="22">
        <f t="shared" si="1"/>
        <v>5</v>
      </c>
      <c r="C55" s="23">
        <f>C54*(1+'Parâmetros'!$B$16)</f>
        <v>769.3822206</v>
      </c>
      <c r="D55" s="29">
        <f t="shared" si="6"/>
        <v>769.3822206</v>
      </c>
      <c r="E55" s="23">
        <f t="shared" si="5"/>
        <v>40241.57163</v>
      </c>
      <c r="F55" s="23">
        <f>E55*'Parâmetros'!$B$13</f>
        <v>320.8919433</v>
      </c>
      <c r="G55" s="23">
        <f t="shared" si="2"/>
        <v>41331.8458</v>
      </c>
      <c r="H55" s="23">
        <f>G55/(1+'Parâmetros'!$B$14)^A55</f>
        <v>33184.32244</v>
      </c>
      <c r="I55" s="25">
        <f>H55/'Parâmetros'!$B$7</f>
        <v>0.03318432244</v>
      </c>
      <c r="J55" s="23">
        <f t="shared" si="3"/>
        <v>33745.58485</v>
      </c>
      <c r="K55" s="23">
        <f t="shared" si="4"/>
        <v>7586.260951</v>
      </c>
      <c r="L55" s="29"/>
      <c r="M55" s="23"/>
    </row>
    <row r="56" ht="15.75" customHeight="1">
      <c r="A56" s="22">
        <v>55.0</v>
      </c>
      <c r="B56" s="22">
        <f t="shared" si="1"/>
        <v>5</v>
      </c>
      <c r="C56" s="23">
        <f>C55*(1+'Parâmetros'!$B$16)</f>
        <v>775.664108</v>
      </c>
      <c r="D56" s="29">
        <f t="shared" si="6"/>
        <v>775.664108</v>
      </c>
      <c r="E56" s="23">
        <f t="shared" si="5"/>
        <v>41331.8458</v>
      </c>
      <c r="F56" s="23">
        <f>E56*'Parâmetros'!$B$13</f>
        <v>329.5859426</v>
      </c>
      <c r="G56" s="23">
        <f t="shared" si="2"/>
        <v>42437.09585</v>
      </c>
      <c r="H56" s="23">
        <f>G56/(1+'Parâmetros'!$B$14)^A56</f>
        <v>33933.45144</v>
      </c>
      <c r="I56" s="25">
        <f>H56/'Parâmetros'!$B$7</f>
        <v>0.03393345144</v>
      </c>
      <c r="J56" s="23">
        <f t="shared" si="3"/>
        <v>34521.24895</v>
      </c>
      <c r="K56" s="23">
        <f t="shared" si="4"/>
        <v>7915.846894</v>
      </c>
      <c r="L56" s="29"/>
      <c r="M56" s="23"/>
    </row>
    <row r="57" ht="15.75" customHeight="1">
      <c r="A57" s="22">
        <v>56.0</v>
      </c>
      <c r="B57" s="22">
        <f t="shared" si="1"/>
        <v>5</v>
      </c>
      <c r="C57" s="23">
        <f>C56*(1+'Parâmetros'!$B$16)</f>
        <v>781.997286</v>
      </c>
      <c r="D57" s="29">
        <f t="shared" si="6"/>
        <v>781.997286</v>
      </c>
      <c r="E57" s="23">
        <f t="shared" si="5"/>
        <v>42437.09585</v>
      </c>
      <c r="F57" s="23">
        <f>E57*'Parâmetros'!$B$13</f>
        <v>338.3993617</v>
      </c>
      <c r="G57" s="23">
        <f t="shared" si="2"/>
        <v>43557.4925</v>
      </c>
      <c r="H57" s="23">
        <f>G57/(1+'Parâmetros'!$B$14)^A57</f>
        <v>34688.01712</v>
      </c>
      <c r="I57" s="25">
        <f>H57/'Parâmetros'!$B$7</f>
        <v>0.03468801712</v>
      </c>
      <c r="J57" s="23">
        <f t="shared" si="3"/>
        <v>35303.24624</v>
      </c>
      <c r="K57" s="23">
        <f t="shared" si="4"/>
        <v>8254.246256</v>
      </c>
      <c r="L57" s="29"/>
      <c r="M57" s="23"/>
    </row>
    <row r="58" ht="15.75" customHeight="1">
      <c r="A58" s="22">
        <v>57.0</v>
      </c>
      <c r="B58" s="22">
        <f t="shared" si="1"/>
        <v>5</v>
      </c>
      <c r="C58" s="23">
        <f>C57*(1+'Parâmetros'!$B$16)</f>
        <v>788.3821735</v>
      </c>
      <c r="D58" s="29">
        <f t="shared" si="6"/>
        <v>788.3821735</v>
      </c>
      <c r="E58" s="23">
        <f t="shared" si="5"/>
        <v>43557.4925</v>
      </c>
      <c r="F58" s="23">
        <f>E58*'Parâmetros'!$B$13</f>
        <v>347.3335619</v>
      </c>
      <c r="G58" s="23">
        <f t="shared" si="2"/>
        <v>44693.20823</v>
      </c>
      <c r="H58" s="23">
        <f>G58/(1+'Parâmetros'!$B$14)^A58</f>
        <v>35448.05088</v>
      </c>
      <c r="I58" s="25">
        <f>H58/'Parâmetros'!$B$7</f>
        <v>0.03544805088</v>
      </c>
      <c r="J58" s="23">
        <f t="shared" si="3"/>
        <v>36091.62841</v>
      </c>
      <c r="K58" s="23">
        <f t="shared" si="4"/>
        <v>8601.579817</v>
      </c>
      <c r="L58" s="29"/>
      <c r="M58" s="23"/>
    </row>
    <row r="59" ht="15.75" customHeight="1">
      <c r="A59" s="22">
        <v>58.0</v>
      </c>
      <c r="B59" s="22">
        <f t="shared" si="1"/>
        <v>5</v>
      </c>
      <c r="C59" s="23">
        <f>C58*(1+'Parâmetros'!$B$16)</f>
        <v>794.8191925</v>
      </c>
      <c r="D59" s="29">
        <f t="shared" si="6"/>
        <v>794.8191925</v>
      </c>
      <c r="E59" s="23">
        <f t="shared" si="5"/>
        <v>44693.20823</v>
      </c>
      <c r="F59" s="23">
        <f>E59*'Parâmetros'!$B$13</f>
        <v>356.3899187</v>
      </c>
      <c r="G59" s="23">
        <f t="shared" si="2"/>
        <v>45844.41734</v>
      </c>
      <c r="H59" s="23">
        <f>G59/(1+'Parâmetros'!$B$14)^A59</f>
        <v>36213.5843</v>
      </c>
      <c r="I59" s="25">
        <f>H59/'Parâmetros'!$B$7</f>
        <v>0.0362135843</v>
      </c>
      <c r="J59" s="23">
        <f t="shared" si="3"/>
        <v>36886.44761</v>
      </c>
      <c r="K59" s="23">
        <f t="shared" si="4"/>
        <v>8957.969736</v>
      </c>
      <c r="L59" s="29"/>
      <c r="M59" s="23"/>
    </row>
    <row r="60" ht="15.75" customHeight="1">
      <c r="A60" s="22">
        <v>59.0</v>
      </c>
      <c r="B60" s="22">
        <f t="shared" si="1"/>
        <v>5</v>
      </c>
      <c r="C60" s="23">
        <f>C59*(1+'Parâmetros'!$B$16)</f>
        <v>801.3087689</v>
      </c>
      <c r="D60" s="29">
        <f t="shared" si="6"/>
        <v>801.3087689</v>
      </c>
      <c r="E60" s="23">
        <f t="shared" si="5"/>
        <v>45844.41734</v>
      </c>
      <c r="F60" s="23">
        <f>E60*'Parâmetros'!$B$13</f>
        <v>365.5698218</v>
      </c>
      <c r="G60" s="23">
        <f t="shared" si="2"/>
        <v>47011.29593</v>
      </c>
      <c r="H60" s="23">
        <f>G60/(1+'Parâmetros'!$B$14)^A60</f>
        <v>36984.64912</v>
      </c>
      <c r="I60" s="25">
        <f>H60/'Parâmetros'!$B$7</f>
        <v>0.03698464912</v>
      </c>
      <c r="J60" s="23">
        <f t="shared" si="3"/>
        <v>37687.75638</v>
      </c>
      <c r="K60" s="23">
        <f t="shared" si="4"/>
        <v>9323.539558</v>
      </c>
      <c r="L60" s="29"/>
      <c r="M60" s="23"/>
    </row>
    <row r="61" ht="15.75" customHeight="1">
      <c r="A61" s="22">
        <v>60.0</v>
      </c>
      <c r="B61" s="22">
        <f t="shared" si="1"/>
        <v>5</v>
      </c>
      <c r="C61" s="23">
        <f>C60*(1+'Parâmetros'!$B$16)</f>
        <v>807.8513316</v>
      </c>
      <c r="D61" s="29">
        <f t="shared" si="6"/>
        <v>807.8513316</v>
      </c>
      <c r="E61" s="23">
        <f t="shared" si="5"/>
        <v>47011.29593</v>
      </c>
      <c r="F61" s="23">
        <f>E61*'Parâmetros'!$B$13</f>
        <v>374.8746755</v>
      </c>
      <c r="G61" s="23">
        <f t="shared" si="2"/>
        <v>48194.02194</v>
      </c>
      <c r="H61" s="23">
        <f>G61/(1+'Parâmetros'!$B$14)^A61</f>
        <v>37761.27726</v>
      </c>
      <c r="I61" s="25">
        <f>H61/'Parâmetros'!$B$7</f>
        <v>0.03776127726</v>
      </c>
      <c r="J61" s="23">
        <f t="shared" si="3"/>
        <v>38495.60771</v>
      </c>
      <c r="K61" s="23">
        <f t="shared" si="4"/>
        <v>9698.414233</v>
      </c>
      <c r="L61" s="29"/>
      <c r="M61" s="23"/>
    </row>
    <row r="62" ht="15.75" customHeight="1">
      <c r="A62" s="22">
        <v>61.0</v>
      </c>
      <c r="B62" s="22">
        <f t="shared" si="1"/>
        <v>6</v>
      </c>
      <c r="C62" s="23">
        <f>C61*(1+'Parâmetros'!$B$16)</f>
        <v>814.4473134</v>
      </c>
      <c r="D62" s="29">
        <f t="shared" si="6"/>
        <v>814.4473134</v>
      </c>
      <c r="E62" s="23">
        <f t="shared" si="5"/>
        <v>48194.02194</v>
      </c>
      <c r="F62" s="23">
        <f>E62*'Parâmetros'!$B$13</f>
        <v>384.3058988</v>
      </c>
      <c r="G62" s="23">
        <f t="shared" si="2"/>
        <v>49392.77515</v>
      </c>
      <c r="H62" s="23">
        <f>G62/(1+'Parâmetros'!$B$14)^A62</f>
        <v>38543.50077</v>
      </c>
      <c r="I62" s="25">
        <f>H62/'Parâmetros'!$B$7</f>
        <v>0.03854350077</v>
      </c>
      <c r="J62" s="23">
        <f t="shared" si="3"/>
        <v>39310.05502</v>
      </c>
      <c r="K62" s="23">
        <f t="shared" si="4"/>
        <v>10082.72013</v>
      </c>
      <c r="L62" s="29"/>
      <c r="M62" s="23"/>
    </row>
    <row r="63" ht="15.75" customHeight="1">
      <c r="A63" s="22">
        <v>62.0</v>
      </c>
      <c r="B63" s="22">
        <f t="shared" si="1"/>
        <v>6</v>
      </c>
      <c r="C63" s="23">
        <f>C62*(1+'Parâmetros'!$B$16)</f>
        <v>821.0971503</v>
      </c>
      <c r="D63" s="29">
        <f t="shared" si="6"/>
        <v>821.0971503</v>
      </c>
      <c r="E63" s="23">
        <f t="shared" si="5"/>
        <v>49392.77515</v>
      </c>
      <c r="F63" s="23">
        <f>E63*'Parâmetros'!$B$13</f>
        <v>393.8649252</v>
      </c>
      <c r="G63" s="23">
        <f t="shared" si="2"/>
        <v>50607.73723</v>
      </c>
      <c r="H63" s="23">
        <f>G63/(1+'Parâmetros'!$B$14)^A63</f>
        <v>39331.35191</v>
      </c>
      <c r="I63" s="25">
        <f>H63/'Parâmetros'!$B$7</f>
        <v>0.03933135191</v>
      </c>
      <c r="J63" s="23">
        <f t="shared" si="3"/>
        <v>40131.15217</v>
      </c>
      <c r="K63" s="23">
        <f t="shared" si="4"/>
        <v>10476.58506</v>
      </c>
      <c r="L63" s="29"/>
      <c r="M63" s="23"/>
    </row>
    <row r="64" ht="15.75" customHeight="1">
      <c r="A64" s="22">
        <v>63.0</v>
      </c>
      <c r="B64" s="22">
        <f t="shared" si="1"/>
        <v>6</v>
      </c>
      <c r="C64" s="23">
        <f>C63*(1+'Parâmetros'!$B$16)</f>
        <v>827.8012821</v>
      </c>
      <c r="D64" s="29">
        <f t="shared" si="6"/>
        <v>827.8012821</v>
      </c>
      <c r="E64" s="23">
        <f t="shared" si="5"/>
        <v>50607.73723</v>
      </c>
      <c r="F64" s="23">
        <f>E64*'Parâmetros'!$B$13</f>
        <v>403.5532034</v>
      </c>
      <c r="G64" s="23">
        <f t="shared" si="2"/>
        <v>51839.09171</v>
      </c>
      <c r="H64" s="23">
        <f>G64/(1+'Parâmetros'!$B$14)^A64</f>
        <v>40124.86308</v>
      </c>
      <c r="I64" s="25">
        <f>H64/'Parâmetros'!$B$7</f>
        <v>0.04012486308</v>
      </c>
      <c r="J64" s="23">
        <f t="shared" si="3"/>
        <v>40958.95345</v>
      </c>
      <c r="K64" s="23">
        <f t="shared" si="4"/>
        <v>10880.13826</v>
      </c>
      <c r="L64" s="29"/>
      <c r="M64" s="23"/>
    </row>
    <row r="65" ht="15.75" customHeight="1">
      <c r="A65" s="22">
        <v>64.0</v>
      </c>
      <c r="B65" s="22">
        <f t="shared" si="1"/>
        <v>6</v>
      </c>
      <c r="C65" s="23">
        <f>C64*(1+'Parâmetros'!$B$16)</f>
        <v>834.5601522</v>
      </c>
      <c r="D65" s="29">
        <f t="shared" si="6"/>
        <v>834.5601522</v>
      </c>
      <c r="E65" s="23">
        <f t="shared" si="5"/>
        <v>51839.09171</v>
      </c>
      <c r="F65" s="23">
        <f>E65*'Parâmetros'!$B$13</f>
        <v>413.372197</v>
      </c>
      <c r="G65" s="23">
        <f t="shared" si="2"/>
        <v>53087.02406</v>
      </c>
      <c r="H65" s="23">
        <f>G65/(1+'Parâmetros'!$B$14)^A65</f>
        <v>40924.06685</v>
      </c>
      <c r="I65" s="25">
        <f>H65/'Parâmetros'!$B$7</f>
        <v>0.04092406685</v>
      </c>
      <c r="J65" s="23">
        <f t="shared" si="3"/>
        <v>41793.51361</v>
      </c>
      <c r="K65" s="23">
        <f t="shared" si="4"/>
        <v>11293.51046</v>
      </c>
      <c r="L65" s="29"/>
      <c r="M65" s="23"/>
    </row>
    <row r="66" ht="15.75" customHeight="1">
      <c r="A66" s="22">
        <v>65.0</v>
      </c>
      <c r="B66" s="22">
        <f t="shared" si="1"/>
        <v>6</v>
      </c>
      <c r="C66" s="23">
        <f>C65*(1+'Parâmetros'!$B$16)</f>
        <v>841.3742073</v>
      </c>
      <c r="D66" s="29">
        <f t="shared" si="6"/>
        <v>841.3742073</v>
      </c>
      <c r="E66" s="23">
        <f t="shared" si="5"/>
        <v>53087.02406</v>
      </c>
      <c r="F66" s="23">
        <f>E66*'Parâmetros'!$B$13</f>
        <v>423.3233848</v>
      </c>
      <c r="G66" s="23">
        <f t="shared" si="2"/>
        <v>54351.72166</v>
      </c>
      <c r="H66" s="23">
        <f>G66/(1+'Parâmetros'!$B$14)^A66</f>
        <v>41728.99598</v>
      </c>
      <c r="I66" s="25">
        <f>H66/'Parâmetros'!$B$7</f>
        <v>0.04172899598</v>
      </c>
      <c r="J66" s="23">
        <f t="shared" si="3"/>
        <v>42634.88781</v>
      </c>
      <c r="K66" s="23">
        <f t="shared" si="4"/>
        <v>11716.83384</v>
      </c>
      <c r="L66" s="29"/>
      <c r="M66" s="23"/>
    </row>
    <row r="67" ht="15.75" customHeight="1">
      <c r="A67" s="22">
        <v>66.0</v>
      </c>
      <c r="B67" s="22">
        <f t="shared" si="1"/>
        <v>6</v>
      </c>
      <c r="C67" s="23">
        <f>C66*(1+'Parâmetros'!$B$16)</f>
        <v>848.2438982</v>
      </c>
      <c r="D67" s="29">
        <f t="shared" si="6"/>
        <v>848.2438982</v>
      </c>
      <c r="E67" s="23">
        <f t="shared" si="5"/>
        <v>54351.72166</v>
      </c>
      <c r="F67" s="23">
        <f>E67*'Parâmetros'!$B$13</f>
        <v>433.408261</v>
      </c>
      <c r="G67" s="23">
        <f t="shared" si="2"/>
        <v>55633.37381</v>
      </c>
      <c r="H67" s="23">
        <f>G67/(1+'Parâmetros'!$B$14)^A67</f>
        <v>42539.68337</v>
      </c>
      <c r="I67" s="25">
        <f>H67/'Parâmetros'!$B$7</f>
        <v>0.04253968337</v>
      </c>
      <c r="J67" s="23">
        <f t="shared" si="3"/>
        <v>43483.13171</v>
      </c>
      <c r="K67" s="23">
        <f t="shared" si="4"/>
        <v>12150.2421</v>
      </c>
      <c r="L67" s="29"/>
      <c r="M67" s="23"/>
    </row>
    <row r="68" ht="15.75" customHeight="1">
      <c r="A68" s="22">
        <v>67.0</v>
      </c>
      <c r="B68" s="22">
        <f t="shared" si="1"/>
        <v>6</v>
      </c>
      <c r="C68" s="23">
        <f>C67*(1+'Parâmetros'!$B$16)</f>
        <v>855.1696791</v>
      </c>
      <c r="D68" s="29">
        <f t="shared" si="6"/>
        <v>855.1696791</v>
      </c>
      <c r="E68" s="23">
        <f t="shared" si="5"/>
        <v>55633.37381</v>
      </c>
      <c r="F68" s="23">
        <f>E68*'Parâmetros'!$B$13</f>
        <v>443.6283353</v>
      </c>
      <c r="G68" s="23">
        <f t="shared" si="2"/>
        <v>56932.17183</v>
      </c>
      <c r="H68" s="23">
        <f>G68/(1+'Parâmetros'!$B$14)^A68</f>
        <v>43356.16213</v>
      </c>
      <c r="I68" s="25">
        <f>H68/'Parâmetros'!$B$7</f>
        <v>0.04335616213</v>
      </c>
      <c r="J68" s="23">
        <f t="shared" si="3"/>
        <v>44338.30139</v>
      </c>
      <c r="K68" s="23">
        <f t="shared" si="4"/>
        <v>12593.87044</v>
      </c>
      <c r="L68" s="29"/>
      <c r="M68" s="23"/>
    </row>
    <row r="69" ht="15.75" customHeight="1">
      <c r="A69" s="22">
        <v>68.0</v>
      </c>
      <c r="B69" s="22">
        <f t="shared" si="1"/>
        <v>6</v>
      </c>
      <c r="C69" s="23">
        <f>C68*(1+'Parâmetros'!$B$16)</f>
        <v>862.1520078</v>
      </c>
      <c r="D69" s="29">
        <f t="shared" si="6"/>
        <v>862.1520078</v>
      </c>
      <c r="E69" s="23">
        <f t="shared" si="5"/>
        <v>56932.17183</v>
      </c>
      <c r="F69" s="23">
        <f>E69*'Parâmetros'!$B$13</f>
        <v>453.9851331</v>
      </c>
      <c r="G69" s="23">
        <f t="shared" si="2"/>
        <v>58248.30897</v>
      </c>
      <c r="H69" s="23">
        <f>G69/(1+'Parâmetros'!$B$14)^A69</f>
        <v>44178.4655</v>
      </c>
      <c r="I69" s="25">
        <f>H69/'Parâmetros'!$B$7</f>
        <v>0.0441784655</v>
      </c>
      <c r="J69" s="23">
        <f t="shared" si="3"/>
        <v>45200.4534</v>
      </c>
      <c r="K69" s="23">
        <f t="shared" si="4"/>
        <v>13047.85557</v>
      </c>
      <c r="L69" s="29"/>
      <c r="M69" s="23"/>
      <c r="N69" s="34">
        <v>48441.0</v>
      </c>
      <c r="O69" s="35" t="s">
        <v>49</v>
      </c>
    </row>
    <row r="70" ht="15.75" customHeight="1">
      <c r="A70" s="22">
        <v>69.0</v>
      </c>
      <c r="B70" s="22">
        <f t="shared" si="1"/>
        <v>6</v>
      </c>
      <c r="C70" s="23">
        <f>C69*(1+'Parâmetros'!$B$16)</f>
        <v>869.1913463</v>
      </c>
      <c r="D70" s="29">
        <f t="shared" si="6"/>
        <v>869.1913463</v>
      </c>
      <c r="E70" s="23">
        <f t="shared" si="5"/>
        <v>58248.30897</v>
      </c>
      <c r="F70" s="23">
        <f>E70*'Parâmetros'!$B$13</f>
        <v>464.4801955</v>
      </c>
      <c r="G70" s="23">
        <f t="shared" si="2"/>
        <v>59581.98051</v>
      </c>
      <c r="H70" s="23">
        <f>G70/(1+'Parâmetros'!$B$14)^A70</f>
        <v>45006.62693</v>
      </c>
      <c r="I70" s="25">
        <f>H70/'Parâmetros'!$B$7</f>
        <v>0.04500662693</v>
      </c>
      <c r="J70" s="23">
        <f t="shared" si="3"/>
        <v>46069.64474</v>
      </c>
      <c r="K70" s="23">
        <f t="shared" si="4"/>
        <v>13512.33577</v>
      </c>
      <c r="L70" s="29"/>
      <c r="M70" s="23"/>
    </row>
    <row r="71" ht="15.75" customHeight="1">
      <c r="A71" s="22">
        <v>70.0</v>
      </c>
      <c r="B71" s="22">
        <f t="shared" si="1"/>
        <v>6</v>
      </c>
      <c r="C71" s="23">
        <f>C70*(1+'Parâmetros'!$B$16)</f>
        <v>876.2881598</v>
      </c>
      <c r="D71" s="29">
        <f t="shared" si="6"/>
        <v>876.2881598</v>
      </c>
      <c r="E71" s="23">
        <f t="shared" si="5"/>
        <v>59581.98051</v>
      </c>
      <c r="F71" s="23">
        <f>E71*'Parâmetros'!$B$13</f>
        <v>475.1150796</v>
      </c>
      <c r="G71" s="23">
        <f t="shared" si="2"/>
        <v>60933.38375</v>
      </c>
      <c r="H71" s="23">
        <f>G71/(1+'Parâmetros'!$B$14)^A71</f>
        <v>45840.68001</v>
      </c>
      <c r="I71" s="25">
        <f>H71/'Parâmetros'!$B$7</f>
        <v>0.04584068001</v>
      </c>
      <c r="J71" s="23">
        <f t="shared" si="3"/>
        <v>46945.9329</v>
      </c>
      <c r="K71" s="23">
        <f t="shared" si="4"/>
        <v>13987.45085</v>
      </c>
      <c r="L71" s="29"/>
      <c r="M71" s="23"/>
    </row>
    <row r="72" ht="15.75" customHeight="1">
      <c r="A72" s="22">
        <v>71.0</v>
      </c>
      <c r="B72" s="22">
        <f t="shared" si="1"/>
        <v>6</v>
      </c>
      <c r="C72" s="23">
        <f>C71*(1+'Parâmetros'!$B$16)</f>
        <v>883.4429177</v>
      </c>
      <c r="D72" s="29">
        <f t="shared" si="6"/>
        <v>883.4429177</v>
      </c>
      <c r="E72" s="23">
        <f t="shared" si="5"/>
        <v>60933.38375</v>
      </c>
      <c r="F72" s="23">
        <f>E72*'Parâmetros'!$B$13</f>
        <v>485.8913588</v>
      </c>
      <c r="G72" s="23">
        <f t="shared" si="2"/>
        <v>62302.71803</v>
      </c>
      <c r="H72" s="23">
        <f>G72/(1+'Parâmetros'!$B$14)^A72</f>
        <v>46680.65854</v>
      </c>
      <c r="I72" s="25">
        <f>H72/'Parâmetros'!$B$7</f>
        <v>0.04668065854</v>
      </c>
      <c r="J72" s="23">
        <f t="shared" si="3"/>
        <v>47829.37582</v>
      </c>
      <c r="K72" s="23">
        <f t="shared" si="4"/>
        <v>14473.34221</v>
      </c>
      <c r="L72" s="29"/>
      <c r="M72" s="23"/>
    </row>
    <row r="73" ht="15.75" customHeight="1">
      <c r="A73" s="22">
        <v>72.0</v>
      </c>
      <c r="B73" s="22">
        <f t="shared" si="1"/>
        <v>6</v>
      </c>
      <c r="C73" s="23">
        <f>C72*(1+'Parâmetros'!$B$16)</f>
        <v>890.6560931</v>
      </c>
      <c r="D73" s="29">
        <f t="shared" si="6"/>
        <v>890.6560931</v>
      </c>
      <c r="E73" s="23">
        <f t="shared" si="5"/>
        <v>62302.71803</v>
      </c>
      <c r="F73" s="23">
        <f>E73*'Parâmetros'!$B$13</f>
        <v>496.8106227</v>
      </c>
      <c r="G73" s="23">
        <f t="shared" si="2"/>
        <v>63690.18474</v>
      </c>
      <c r="H73" s="23">
        <f>G73/(1+'Parâmetros'!$B$14)^A73</f>
        <v>47526.59647</v>
      </c>
      <c r="I73" s="25">
        <f>H73/'Parâmetros'!$B$7</f>
        <v>0.04752659647</v>
      </c>
      <c r="J73" s="23">
        <f t="shared" si="3"/>
        <v>48720.03191</v>
      </c>
      <c r="K73" s="23">
        <f t="shared" si="4"/>
        <v>14970.15283</v>
      </c>
      <c r="L73" s="29"/>
      <c r="M73" s="23"/>
    </row>
    <row r="74" ht="15.75" customHeight="1">
      <c r="A74" s="22">
        <v>73.0</v>
      </c>
      <c r="B74" s="22">
        <f t="shared" si="1"/>
        <v>7</v>
      </c>
      <c r="C74" s="23">
        <f>C73*(1+'Parâmetros'!$B$16)</f>
        <v>897.928163</v>
      </c>
      <c r="D74" s="29">
        <f t="shared" si="6"/>
        <v>897.928163</v>
      </c>
      <c r="E74" s="23">
        <f t="shared" si="5"/>
        <v>63690.18474</v>
      </c>
      <c r="F74" s="23">
        <f>E74*'Parâmetros'!$B$13</f>
        <v>507.8744771</v>
      </c>
      <c r="G74" s="23">
        <f t="shared" si="2"/>
        <v>65095.98738</v>
      </c>
      <c r="H74" s="23">
        <f>G74/(1+'Parâmetros'!$B$14)^A74</f>
        <v>48378.52793</v>
      </c>
      <c r="I74" s="25">
        <f>H74/'Parâmetros'!$B$7</f>
        <v>0.04837852793</v>
      </c>
      <c r="J74" s="23">
        <f t="shared" si="3"/>
        <v>49617.96008</v>
      </c>
      <c r="K74" s="23">
        <f t="shared" si="4"/>
        <v>15478.02731</v>
      </c>
      <c r="L74" s="29"/>
      <c r="M74" s="23"/>
    </row>
    <row r="75" ht="15.75" customHeight="1">
      <c r="A75" s="22">
        <v>74.0</v>
      </c>
      <c r="B75" s="22">
        <f t="shared" si="1"/>
        <v>7</v>
      </c>
      <c r="C75" s="23">
        <f>C74*(1+'Parâmetros'!$B$16)</f>
        <v>905.2596082</v>
      </c>
      <c r="D75" s="29">
        <f t="shared" si="6"/>
        <v>905.2596082</v>
      </c>
      <c r="E75" s="23">
        <f t="shared" si="5"/>
        <v>65095.98738</v>
      </c>
      <c r="F75" s="23">
        <f>E75*'Parâmetros'!$B$13</f>
        <v>519.0845448</v>
      </c>
      <c r="G75" s="23">
        <f t="shared" si="2"/>
        <v>66520.33154</v>
      </c>
      <c r="H75" s="23">
        <f>G75/(1+'Parâmetros'!$B$14)^A75</f>
        <v>49236.48724</v>
      </c>
      <c r="I75" s="25">
        <f>H75/'Parâmetros'!$B$7</f>
        <v>0.04923648724</v>
      </c>
      <c r="J75" s="23">
        <f t="shared" si="3"/>
        <v>50523.21969</v>
      </c>
      <c r="K75" s="23">
        <f t="shared" si="4"/>
        <v>15997.11185</v>
      </c>
      <c r="L75" s="29"/>
      <c r="M75" s="23"/>
    </row>
    <row r="76" ht="15.75" customHeight="1">
      <c r="A76" s="30">
        <v>75.0</v>
      </c>
      <c r="B76" s="30">
        <f t="shared" si="1"/>
        <v>7</v>
      </c>
      <c r="C76" s="31">
        <f>C75*(1+'Parâmetros'!$B$16)</f>
        <v>912.6509136</v>
      </c>
      <c r="D76" s="32">
        <f t="shared" si="6"/>
        <v>912.6509136</v>
      </c>
      <c r="E76" s="31">
        <f t="shared" si="5"/>
        <v>66520.33154</v>
      </c>
      <c r="F76" s="31">
        <f>E76*'Parâmetros'!$B$13</f>
        <v>530.442465</v>
      </c>
      <c r="G76" s="31">
        <f t="shared" si="2"/>
        <v>67963.42492</v>
      </c>
      <c r="H76" s="31">
        <f>G76/(1+'Parâmetros'!$B$14)^A76</f>
        <v>50100.50889</v>
      </c>
      <c r="I76" s="33">
        <f>H76/'Parâmetros'!$B$7</f>
        <v>0.05010050889</v>
      </c>
      <c r="J76" s="31">
        <f t="shared" si="3"/>
        <v>51435.8706</v>
      </c>
      <c r="K76" s="31">
        <f t="shared" si="4"/>
        <v>16527.55432</v>
      </c>
      <c r="L76" s="29"/>
      <c r="M76" s="23"/>
    </row>
    <row r="77" ht="15.75" customHeight="1">
      <c r="A77" s="22">
        <v>76.0</v>
      </c>
      <c r="B77" s="22">
        <f t="shared" si="1"/>
        <v>7</v>
      </c>
      <c r="C77" s="23">
        <f>C76*(1+'Parâmetros'!$B$16)</f>
        <v>920.1025678</v>
      </c>
      <c r="D77" s="29">
        <f t="shared" si="6"/>
        <v>920.1025678</v>
      </c>
      <c r="E77" s="23">
        <f t="shared" si="5"/>
        <v>67963.42492</v>
      </c>
      <c r="F77" s="23">
        <f>E77*'Parâmetros'!$B$13</f>
        <v>541.9498943</v>
      </c>
      <c r="G77" s="23">
        <f t="shared" si="2"/>
        <v>69425.47738</v>
      </c>
      <c r="H77" s="23">
        <f>G77/(1+'Parâmetros'!$B$14)^A77</f>
        <v>50970.62754</v>
      </c>
      <c r="I77" s="25">
        <f>H77/'Parâmetros'!$B$7</f>
        <v>0.05097062754</v>
      </c>
      <c r="J77" s="23">
        <f t="shared" si="3"/>
        <v>52355.97317</v>
      </c>
      <c r="K77" s="23">
        <f t="shared" si="4"/>
        <v>17069.50421</v>
      </c>
      <c r="L77" s="29"/>
      <c r="M77" s="23"/>
    </row>
    <row r="78" ht="15.75" customHeight="1">
      <c r="A78" s="22">
        <v>77.0</v>
      </c>
      <c r="B78" s="22">
        <f t="shared" si="1"/>
        <v>7</v>
      </c>
      <c r="C78" s="23">
        <f>C77*(1+'Parâmetros'!$B$16)</f>
        <v>927.6150636</v>
      </c>
      <c r="D78" s="29">
        <f t="shared" si="6"/>
        <v>927.6150636</v>
      </c>
      <c r="E78" s="23">
        <f t="shared" si="5"/>
        <v>69425.47738</v>
      </c>
      <c r="F78" s="23">
        <f>E78*'Parâmetros'!$B$13</f>
        <v>553.6085059</v>
      </c>
      <c r="G78" s="23">
        <f t="shared" si="2"/>
        <v>70906.70095</v>
      </c>
      <c r="H78" s="23">
        <f>G78/(1+'Parâmetros'!$B$14)^A78</f>
        <v>51846.87805</v>
      </c>
      <c r="I78" s="25">
        <f>H78/'Parâmetros'!$B$7</f>
        <v>0.05184687805</v>
      </c>
      <c r="J78" s="23">
        <f t="shared" si="3"/>
        <v>53283.58823</v>
      </c>
      <c r="K78" s="23">
        <f t="shared" si="4"/>
        <v>17623.11272</v>
      </c>
      <c r="L78" s="29"/>
      <c r="M78" s="23"/>
    </row>
    <row r="79" ht="15.75" customHeight="1">
      <c r="A79" s="22">
        <v>78.0</v>
      </c>
      <c r="B79" s="22">
        <f t="shared" si="1"/>
        <v>7</v>
      </c>
      <c r="C79" s="23">
        <f>C78*(1+'Parâmetros'!$B$16)</f>
        <v>935.1888978</v>
      </c>
      <c r="D79" s="29">
        <f t="shared" si="6"/>
        <v>935.1888978</v>
      </c>
      <c r="E79" s="23">
        <f t="shared" si="5"/>
        <v>70906.70095</v>
      </c>
      <c r="F79" s="23">
        <f>E79*'Parâmetros'!$B$13</f>
        <v>565.4199907</v>
      </c>
      <c r="G79" s="23">
        <f t="shared" si="2"/>
        <v>72407.30984</v>
      </c>
      <c r="H79" s="23">
        <f>G79/(1+'Parâmetros'!$B$14)^A79</f>
        <v>52729.29544</v>
      </c>
      <c r="I79" s="25">
        <f>H79/'Parâmetros'!$B$7</f>
        <v>0.05272929544</v>
      </c>
      <c r="J79" s="23">
        <f t="shared" si="3"/>
        <v>54218.77713</v>
      </c>
      <c r="K79" s="23">
        <f t="shared" si="4"/>
        <v>18188.53271</v>
      </c>
      <c r="L79" s="29"/>
      <c r="M79" s="23"/>
    </row>
    <row r="80" ht="15.75" customHeight="1">
      <c r="A80" s="22">
        <v>79.0</v>
      </c>
      <c r="B80" s="22">
        <f t="shared" si="1"/>
        <v>7</v>
      </c>
      <c r="C80" s="23">
        <f>C79*(1+'Parâmetros'!$B$16)</f>
        <v>942.8245712</v>
      </c>
      <c r="D80" s="29">
        <f t="shared" si="6"/>
        <v>942.8245712</v>
      </c>
      <c r="E80" s="23">
        <f t="shared" si="5"/>
        <v>72407.30984</v>
      </c>
      <c r="F80" s="23">
        <f>E80*'Parâmetros'!$B$13</f>
        <v>577.3860567</v>
      </c>
      <c r="G80" s="23">
        <f t="shared" si="2"/>
        <v>73927.52046</v>
      </c>
      <c r="H80" s="23">
        <f>G80/(1+'Parâmetros'!$B$14)^A80</f>
        <v>53617.91493</v>
      </c>
      <c r="I80" s="25">
        <f>H80/'Parâmetros'!$B$7</f>
        <v>0.05361791493</v>
      </c>
      <c r="J80" s="23">
        <f t="shared" si="3"/>
        <v>55161.6017</v>
      </c>
      <c r="K80" s="23">
        <f t="shared" si="4"/>
        <v>18765.91876</v>
      </c>
      <c r="L80" s="29"/>
      <c r="M80" s="23"/>
    </row>
    <row r="81" ht="15.75" customHeight="1">
      <c r="A81" s="22">
        <v>80.0</v>
      </c>
      <c r="B81" s="22">
        <f t="shared" si="1"/>
        <v>7</v>
      </c>
      <c r="C81" s="23">
        <f>C80*(1+'Parâmetros'!$B$16)</f>
        <v>950.5225886</v>
      </c>
      <c r="D81" s="29">
        <f t="shared" si="6"/>
        <v>950.5225886</v>
      </c>
      <c r="E81" s="23">
        <f t="shared" si="5"/>
        <v>73927.52046</v>
      </c>
      <c r="F81" s="23">
        <f>E81*'Parâmetros'!$B$13</f>
        <v>589.5084297</v>
      </c>
      <c r="G81" s="23">
        <f t="shared" si="2"/>
        <v>75467.55148</v>
      </c>
      <c r="H81" s="23">
        <f>G81/(1+'Parâmetros'!$B$14)^A81</f>
        <v>54512.7719</v>
      </c>
      <c r="I81" s="25">
        <f>H81/'Parâmetros'!$B$7</f>
        <v>0.0545127719</v>
      </c>
      <c r="J81" s="23">
        <f t="shared" si="3"/>
        <v>56112.12429</v>
      </c>
      <c r="K81" s="23">
        <f t="shared" si="4"/>
        <v>19355.42719</v>
      </c>
      <c r="L81" s="29"/>
      <c r="M81" s="23"/>
    </row>
    <row r="82" ht="15.75" customHeight="1">
      <c r="A82" s="22">
        <v>81.0</v>
      </c>
      <c r="B82" s="22">
        <f t="shared" si="1"/>
        <v>7</v>
      </c>
      <c r="C82" s="23">
        <f>C81*(1+'Parâmetros'!$B$16)</f>
        <v>958.2834592</v>
      </c>
      <c r="D82" s="29">
        <f t="shared" si="6"/>
        <v>958.2834592</v>
      </c>
      <c r="E82" s="23">
        <f t="shared" si="5"/>
        <v>75467.55148</v>
      </c>
      <c r="F82" s="23">
        <f>E82*'Parâmetros'!$B$13</f>
        <v>601.7888533</v>
      </c>
      <c r="G82" s="23">
        <f t="shared" si="2"/>
        <v>77027.62379</v>
      </c>
      <c r="H82" s="23">
        <f>G82/(1+'Parâmetros'!$B$14)^A82</f>
        <v>55413.90195</v>
      </c>
      <c r="I82" s="25">
        <f>H82/'Parâmetros'!$B$7</f>
        <v>0.05541390195</v>
      </c>
      <c r="J82" s="23">
        <f t="shared" si="3"/>
        <v>57070.40775</v>
      </c>
      <c r="K82" s="23">
        <f t="shared" si="4"/>
        <v>19957.21605</v>
      </c>
      <c r="L82" s="29"/>
      <c r="M82" s="23"/>
    </row>
    <row r="83" ht="15.75" customHeight="1">
      <c r="A83" s="22">
        <v>82.0</v>
      </c>
      <c r="B83" s="22">
        <f t="shared" si="1"/>
        <v>7</v>
      </c>
      <c r="C83" s="23">
        <f>C82*(1+'Parâmetros'!$B$16)</f>
        <v>966.1076962</v>
      </c>
      <c r="D83" s="29">
        <f t="shared" si="6"/>
        <v>966.1076962</v>
      </c>
      <c r="E83" s="23">
        <f t="shared" si="5"/>
        <v>77027.62379</v>
      </c>
      <c r="F83" s="23">
        <f>E83*'Parâmetros'!$B$13</f>
        <v>614.229089</v>
      </c>
      <c r="G83" s="23">
        <f t="shared" si="2"/>
        <v>78607.96058</v>
      </c>
      <c r="H83" s="23">
        <f>G83/(1+'Parâmetros'!$B$14)^A83</f>
        <v>56321.34082</v>
      </c>
      <c r="I83" s="25">
        <f>H83/'Parâmetros'!$B$7</f>
        <v>0.05632134082</v>
      </c>
      <c r="J83" s="23">
        <f t="shared" si="3"/>
        <v>58036.51544</v>
      </c>
      <c r="K83" s="23">
        <f t="shared" si="4"/>
        <v>20571.44514</v>
      </c>
      <c r="L83" s="29"/>
      <c r="M83" s="23"/>
    </row>
    <row r="84" ht="15.75" customHeight="1">
      <c r="A84" s="22">
        <v>83.0</v>
      </c>
      <c r="B84" s="22">
        <f t="shared" si="1"/>
        <v>7</v>
      </c>
      <c r="C84" s="23">
        <f>C83*(1+'Parâmetros'!$B$16)</f>
        <v>973.9958168</v>
      </c>
      <c r="D84" s="29">
        <f t="shared" si="6"/>
        <v>973.9958168</v>
      </c>
      <c r="E84" s="23">
        <f t="shared" si="5"/>
        <v>78607.96058</v>
      </c>
      <c r="F84" s="23">
        <f>E84*'Parâmetros'!$B$13</f>
        <v>626.8309165</v>
      </c>
      <c r="G84" s="23">
        <f t="shared" si="2"/>
        <v>80208.78731</v>
      </c>
      <c r="H84" s="23">
        <f>G84/(1+'Parâmetros'!$B$14)^A84</f>
        <v>57235.12448</v>
      </c>
      <c r="I84" s="25">
        <f>H84/'Parâmetros'!$B$7</f>
        <v>0.05723512448</v>
      </c>
      <c r="J84" s="23">
        <f t="shared" si="3"/>
        <v>59010.51126</v>
      </c>
      <c r="K84" s="23">
        <f t="shared" si="4"/>
        <v>21198.27605</v>
      </c>
      <c r="L84" s="29"/>
      <c r="M84" s="23"/>
    </row>
    <row r="85" ht="15.75" customHeight="1">
      <c r="A85" s="22">
        <v>84.0</v>
      </c>
      <c r="B85" s="22">
        <f t="shared" si="1"/>
        <v>7</v>
      </c>
      <c r="C85" s="23">
        <f>C84*(1+'Parâmetros'!$B$16)</f>
        <v>981.9483427</v>
      </c>
      <c r="D85" s="29">
        <f t="shared" si="6"/>
        <v>981.9483427</v>
      </c>
      <c r="E85" s="23">
        <f t="shared" si="5"/>
        <v>80208.78731</v>
      </c>
      <c r="F85" s="23">
        <f>E85*'Parâmetros'!$B$13</f>
        <v>639.5961337</v>
      </c>
      <c r="G85" s="23">
        <f t="shared" si="2"/>
        <v>81830.33179</v>
      </c>
      <c r="H85" s="23">
        <f>G85/(1+'Parâmetros'!$B$14)^A85</f>
        <v>58155.28904</v>
      </c>
      <c r="I85" s="25">
        <f>H85/'Parâmetros'!$B$7</f>
        <v>0.05815528904</v>
      </c>
      <c r="J85" s="23">
        <f t="shared" si="3"/>
        <v>59992.4596</v>
      </c>
      <c r="K85" s="23">
        <f t="shared" si="4"/>
        <v>21837.87219</v>
      </c>
      <c r="L85" s="29"/>
      <c r="M85" s="23"/>
    </row>
    <row r="86" ht="15.75" customHeight="1">
      <c r="A86" s="22">
        <v>85.0</v>
      </c>
      <c r="B86" s="22">
        <f t="shared" si="1"/>
        <v>8</v>
      </c>
      <c r="C86" s="23">
        <f>C85*(1+'Parâmetros'!$B$16)</f>
        <v>989.9657997</v>
      </c>
      <c r="D86" s="29">
        <f t="shared" si="6"/>
        <v>989.9657997</v>
      </c>
      <c r="E86" s="23">
        <f t="shared" si="5"/>
        <v>81830.33179</v>
      </c>
      <c r="F86" s="23">
        <f>E86*'Parâmetros'!$B$13</f>
        <v>652.526557</v>
      </c>
      <c r="G86" s="23">
        <f t="shared" si="2"/>
        <v>83472.82415</v>
      </c>
      <c r="H86" s="23">
        <f>G86/(1+'Parâmetros'!$B$14)^A86</f>
        <v>59081.87084</v>
      </c>
      <c r="I86" s="25">
        <f>H86/'Parâmetros'!$B$7</f>
        <v>0.05908187084</v>
      </c>
      <c r="J86" s="23">
        <f t="shared" si="3"/>
        <v>60982.4254</v>
      </c>
      <c r="K86" s="23">
        <f t="shared" si="4"/>
        <v>22490.39874</v>
      </c>
      <c r="L86" s="29"/>
      <c r="M86" s="23"/>
    </row>
    <row r="87" ht="15.75" customHeight="1">
      <c r="A87" s="22">
        <v>86.0</v>
      </c>
      <c r="B87" s="22">
        <f t="shared" si="1"/>
        <v>8</v>
      </c>
      <c r="C87" s="23">
        <f>C86*(1+'Parâmetros'!$B$16)</f>
        <v>998.0487181</v>
      </c>
      <c r="D87" s="29">
        <f t="shared" si="6"/>
        <v>998.0487181</v>
      </c>
      <c r="E87" s="23">
        <f t="shared" si="5"/>
        <v>83472.82415</v>
      </c>
      <c r="F87" s="23">
        <f>E87*'Parâmetros'!$B$13</f>
        <v>665.6240217</v>
      </c>
      <c r="G87" s="23">
        <f t="shared" si="2"/>
        <v>85136.49689</v>
      </c>
      <c r="H87" s="23">
        <f>G87/(1+'Parâmetros'!$B$14)^A87</f>
        <v>60014.90638</v>
      </c>
      <c r="I87" s="25">
        <f>H87/'Parâmetros'!$B$7</f>
        <v>0.06001490638</v>
      </c>
      <c r="J87" s="23">
        <f t="shared" si="3"/>
        <v>61980.47412</v>
      </c>
      <c r="K87" s="23">
        <f t="shared" si="4"/>
        <v>23156.02276</v>
      </c>
      <c r="L87" s="29"/>
      <c r="M87" s="23"/>
    </row>
    <row r="88" ht="15.75" customHeight="1">
      <c r="A88" s="22">
        <v>87.0</v>
      </c>
      <c r="B88" s="22">
        <f t="shared" si="1"/>
        <v>8</v>
      </c>
      <c r="C88" s="23">
        <f>C87*(1+'Parâmetros'!$B$16)</f>
        <v>1006.197632</v>
      </c>
      <c r="D88" s="29">
        <f t="shared" si="6"/>
        <v>1006.197632</v>
      </c>
      <c r="E88" s="23">
        <f t="shared" si="5"/>
        <v>85136.49689</v>
      </c>
      <c r="F88" s="23">
        <f>E88*'Parâmetros'!$B$13</f>
        <v>678.8903818</v>
      </c>
      <c r="G88" s="23">
        <f t="shared" si="2"/>
        <v>86821.5849</v>
      </c>
      <c r="H88" s="23">
        <f>G88/(1+'Parâmetros'!$B$14)^A88</f>
        <v>60954.43236</v>
      </c>
      <c r="I88" s="25">
        <f>H88/'Parâmetros'!$B$7</f>
        <v>0.06095443236</v>
      </c>
      <c r="J88" s="23">
        <f t="shared" si="3"/>
        <v>62986.67175</v>
      </c>
      <c r="K88" s="23">
        <f t="shared" si="4"/>
        <v>23834.91315</v>
      </c>
      <c r="L88" s="29"/>
      <c r="M88" s="23"/>
    </row>
    <row r="89" ht="15.75" customHeight="1">
      <c r="A89" s="22">
        <v>88.0</v>
      </c>
      <c r="B89" s="22">
        <f t="shared" si="1"/>
        <v>8</v>
      </c>
      <c r="C89" s="23">
        <f>C88*(1+'Parâmetros'!$B$16)</f>
        <v>1014.413081</v>
      </c>
      <c r="D89" s="29">
        <f t="shared" si="6"/>
        <v>1014.413081</v>
      </c>
      <c r="E89" s="23">
        <f t="shared" si="5"/>
        <v>86821.5849</v>
      </c>
      <c r="F89" s="23">
        <f>E89*'Parâmetros'!$B$13</f>
        <v>692.3275102</v>
      </c>
      <c r="G89" s="23">
        <f t="shared" si="2"/>
        <v>88528.32549</v>
      </c>
      <c r="H89" s="23">
        <f>G89/(1+'Parâmetros'!$B$14)^A89</f>
        <v>61900.48566</v>
      </c>
      <c r="I89" s="25">
        <f>H89/'Parâmetros'!$B$7</f>
        <v>0.06190048566</v>
      </c>
      <c r="J89" s="23">
        <f t="shared" si="3"/>
        <v>64001.08483</v>
      </c>
      <c r="K89" s="23">
        <f t="shared" si="4"/>
        <v>24527.24066</v>
      </c>
      <c r="L89" s="29"/>
      <c r="M89" s="23"/>
    </row>
    <row r="90" ht="15.75" customHeight="1">
      <c r="A90" s="22">
        <v>89.0</v>
      </c>
      <c r="B90" s="22">
        <f t="shared" si="1"/>
        <v>8</v>
      </c>
      <c r="C90" s="23">
        <f>C89*(1+'Parâmetros'!$B$16)</f>
        <v>1022.695608</v>
      </c>
      <c r="D90" s="29">
        <f t="shared" si="6"/>
        <v>1022.695608</v>
      </c>
      <c r="E90" s="23">
        <f t="shared" si="5"/>
        <v>88528.32549</v>
      </c>
      <c r="F90" s="23">
        <f>E90*'Parâmetros'!$B$13</f>
        <v>705.9372994</v>
      </c>
      <c r="G90" s="23">
        <f t="shared" si="2"/>
        <v>90256.9584</v>
      </c>
      <c r="H90" s="23">
        <f>G90/(1+'Parâmetros'!$B$14)^A90</f>
        <v>62853.10338</v>
      </c>
      <c r="I90" s="25">
        <f>H90/'Parâmetros'!$B$7</f>
        <v>0.06285310338</v>
      </c>
      <c r="J90" s="23">
        <f t="shared" si="3"/>
        <v>65023.78044</v>
      </c>
      <c r="K90" s="23">
        <f t="shared" si="4"/>
        <v>25233.17796</v>
      </c>
      <c r="L90" s="29"/>
      <c r="M90" s="23"/>
    </row>
    <row r="91" ht="15.75" customHeight="1">
      <c r="A91" s="22">
        <v>90.0</v>
      </c>
      <c r="B91" s="22">
        <f t="shared" si="1"/>
        <v>8</v>
      </c>
      <c r="C91" s="23">
        <f>C90*(1+'Parâmetros'!$B$16)</f>
        <v>1031.04576</v>
      </c>
      <c r="D91" s="29">
        <f t="shared" si="6"/>
        <v>1031.04576</v>
      </c>
      <c r="E91" s="23">
        <f t="shared" si="5"/>
        <v>90256.9584</v>
      </c>
      <c r="F91" s="23">
        <f>E91*'Parâmetros'!$B$13</f>
        <v>719.7216609</v>
      </c>
      <c r="G91" s="23">
        <f t="shared" si="2"/>
        <v>92007.72582</v>
      </c>
      <c r="H91" s="23">
        <f>G91/(1+'Parâmetros'!$B$14)^A91</f>
        <v>63812.32277</v>
      </c>
      <c r="I91" s="25">
        <f>H91/'Parâmetros'!$B$7</f>
        <v>0.06381232277</v>
      </c>
      <c r="J91" s="23">
        <f t="shared" si="3"/>
        <v>66054.8262</v>
      </c>
      <c r="K91" s="23">
        <f t="shared" si="4"/>
        <v>25952.89962</v>
      </c>
      <c r="L91" s="29"/>
      <c r="M91" s="23"/>
    </row>
    <row r="92" ht="15.75" customHeight="1">
      <c r="A92" s="22">
        <v>91.0</v>
      </c>
      <c r="B92" s="22">
        <f t="shared" si="1"/>
        <v>8</v>
      </c>
      <c r="C92" s="23">
        <f>C91*(1+'Parâmetros'!$B$16)</f>
        <v>1039.46409</v>
      </c>
      <c r="D92" s="29">
        <f t="shared" si="6"/>
        <v>1039.46409</v>
      </c>
      <c r="E92" s="23">
        <f t="shared" si="5"/>
        <v>92007.72582</v>
      </c>
      <c r="F92" s="23">
        <f>E92*'Parâmetros'!$B$13</f>
        <v>733.6825262</v>
      </c>
      <c r="G92" s="23">
        <f t="shared" si="2"/>
        <v>93780.87243</v>
      </c>
      <c r="H92" s="23">
        <f>G92/(1+'Parâmetros'!$B$14)^A92</f>
        <v>64778.1813</v>
      </c>
      <c r="I92" s="25">
        <f>H92/'Parâmetros'!$B$7</f>
        <v>0.0647781813</v>
      </c>
      <c r="J92" s="23">
        <f t="shared" si="3"/>
        <v>67094.29029</v>
      </c>
      <c r="K92" s="23">
        <f t="shared" si="4"/>
        <v>26686.58214</v>
      </c>
      <c r="L92" s="29"/>
      <c r="M92" s="23"/>
    </row>
    <row r="93" ht="15.75" customHeight="1">
      <c r="A93" s="22">
        <v>92.0</v>
      </c>
      <c r="B93" s="22">
        <f t="shared" si="1"/>
        <v>8</v>
      </c>
      <c r="C93" s="23">
        <f>C92*(1+'Parâmetros'!$B$16)</f>
        <v>1047.951154</v>
      </c>
      <c r="D93" s="29">
        <f t="shared" si="6"/>
        <v>1047.951154</v>
      </c>
      <c r="E93" s="23">
        <f t="shared" si="5"/>
        <v>93780.87243</v>
      </c>
      <c r="F93" s="23">
        <f>E93*'Parâmetros'!$B$13</f>
        <v>747.8218463</v>
      </c>
      <c r="G93" s="23">
        <f t="shared" si="2"/>
        <v>95576.64543</v>
      </c>
      <c r="H93" s="23">
        <f>G93/(1+'Parâmetros'!$B$14)^A93</f>
        <v>65750.71663</v>
      </c>
      <c r="I93" s="25">
        <f>H93/'Parâmetros'!$B$7</f>
        <v>0.06575071663</v>
      </c>
      <c r="J93" s="23">
        <f t="shared" si="3"/>
        <v>68142.24145</v>
      </c>
      <c r="K93" s="23">
        <f t="shared" si="4"/>
        <v>27434.40399</v>
      </c>
      <c r="L93" s="29"/>
      <c r="M93" s="23"/>
    </row>
    <row r="94" ht="15.75" customHeight="1">
      <c r="A94" s="22">
        <v>93.0</v>
      </c>
      <c r="B94" s="22">
        <f t="shared" si="1"/>
        <v>8</v>
      </c>
      <c r="C94" s="23">
        <f>C93*(1+'Parâmetros'!$B$16)</f>
        <v>1056.507514</v>
      </c>
      <c r="D94" s="29">
        <f t="shared" si="6"/>
        <v>1056.507514</v>
      </c>
      <c r="E94" s="23">
        <f t="shared" si="5"/>
        <v>95576.64543</v>
      </c>
      <c r="F94" s="23">
        <f>E94*'Parâmetros'!$B$13</f>
        <v>762.1415924</v>
      </c>
      <c r="G94" s="23">
        <f t="shared" si="2"/>
        <v>97395.29454</v>
      </c>
      <c r="H94" s="23">
        <f>G94/(1+'Parâmetros'!$B$14)^A94</f>
        <v>66729.96661</v>
      </c>
      <c r="I94" s="25">
        <f>H94/'Parâmetros'!$B$7</f>
        <v>0.06672996661</v>
      </c>
      <c r="J94" s="23">
        <f t="shared" si="3"/>
        <v>69198.74896</v>
      </c>
      <c r="K94" s="23">
        <f t="shared" si="4"/>
        <v>28196.54558</v>
      </c>
      <c r="L94" s="29"/>
      <c r="M94" s="23"/>
    </row>
    <row r="95" ht="15.75" customHeight="1">
      <c r="A95" s="22">
        <v>94.0</v>
      </c>
      <c r="B95" s="22">
        <f t="shared" si="1"/>
        <v>8</v>
      </c>
      <c r="C95" s="23">
        <f>C94*(1+'Parâmetros'!$B$16)</f>
        <v>1065.133735</v>
      </c>
      <c r="D95" s="29">
        <f t="shared" si="6"/>
        <v>1065.133735</v>
      </c>
      <c r="E95" s="23">
        <f t="shared" si="5"/>
        <v>97395.29454</v>
      </c>
      <c r="F95" s="23">
        <f>E95*'Parâmetros'!$B$13</f>
        <v>776.6437558</v>
      </c>
      <c r="G95" s="23">
        <f t="shared" si="2"/>
        <v>99237.07203</v>
      </c>
      <c r="H95" s="23">
        <f>G95/(1+'Parâmetros'!$B$14)^A95</f>
        <v>67715.96928</v>
      </c>
      <c r="I95" s="25">
        <f>H95/'Parâmetros'!$B$7</f>
        <v>0.06771596928</v>
      </c>
      <c r="J95" s="23">
        <f t="shared" si="3"/>
        <v>70263.88269</v>
      </c>
      <c r="K95" s="23">
        <f t="shared" si="4"/>
        <v>28973.18934</v>
      </c>
      <c r="L95" s="29"/>
      <c r="M95" s="23"/>
    </row>
    <row r="96" ht="15.75" customHeight="1">
      <c r="A96" s="22">
        <v>95.0</v>
      </c>
      <c r="B96" s="22">
        <f t="shared" si="1"/>
        <v>8</v>
      </c>
      <c r="C96" s="23">
        <f>C95*(1+'Parâmetros'!$B$16)</f>
        <v>1073.830388</v>
      </c>
      <c r="D96" s="29">
        <f t="shared" si="6"/>
        <v>1073.830388</v>
      </c>
      <c r="E96" s="23">
        <f t="shared" si="5"/>
        <v>99237.07203</v>
      </c>
      <c r="F96" s="23">
        <f>E96*'Parâmetros'!$B$13</f>
        <v>791.3303481</v>
      </c>
      <c r="G96" s="23">
        <f t="shared" si="2"/>
        <v>101102.2328</v>
      </c>
      <c r="H96" s="23">
        <f>G96/(1+'Parâmetros'!$B$14)^A96</f>
        <v>68708.7629</v>
      </c>
      <c r="I96" s="25">
        <f>H96/'Parâmetros'!$B$7</f>
        <v>0.0687087629</v>
      </c>
      <c r="J96" s="23">
        <f t="shared" si="3"/>
        <v>71337.71308</v>
      </c>
      <c r="K96" s="23">
        <f t="shared" si="4"/>
        <v>29764.51969</v>
      </c>
      <c r="L96" s="29"/>
      <c r="M96" s="23"/>
    </row>
    <row r="97" ht="15.75" customHeight="1">
      <c r="A97" s="22">
        <v>96.0</v>
      </c>
      <c r="B97" s="22">
        <f t="shared" si="1"/>
        <v>8</v>
      </c>
      <c r="C97" s="23">
        <f>C96*(1+'Parâmetros'!$B$16)</f>
        <v>1082.598048</v>
      </c>
      <c r="D97" s="29">
        <f t="shared" si="6"/>
        <v>1082.598048</v>
      </c>
      <c r="E97" s="23">
        <f t="shared" si="5"/>
        <v>101102.2328</v>
      </c>
      <c r="F97" s="23">
        <f>E97*'Parâmetros'!$B$13</f>
        <v>806.2034018</v>
      </c>
      <c r="G97" s="23">
        <f t="shared" si="2"/>
        <v>102991.0342</v>
      </c>
      <c r="H97" s="23">
        <f>G97/(1+'Parâmetros'!$B$14)^A97</f>
        <v>69708.38589</v>
      </c>
      <c r="I97" s="25">
        <f>H97/'Parâmetros'!$B$7</f>
        <v>0.06970838589</v>
      </c>
      <c r="J97" s="23">
        <f t="shared" si="3"/>
        <v>72420.31113</v>
      </c>
      <c r="K97" s="23">
        <f t="shared" si="4"/>
        <v>30570.72309</v>
      </c>
      <c r="L97" s="29"/>
      <c r="M97" s="23"/>
    </row>
    <row r="98" ht="15.75" customHeight="1">
      <c r="A98" s="22">
        <v>97.0</v>
      </c>
      <c r="B98" s="22">
        <f t="shared" si="1"/>
        <v>9</v>
      </c>
      <c r="C98" s="23">
        <f>C97*(1+'Parâmetros'!$B$16)</f>
        <v>1091.437294</v>
      </c>
      <c r="D98" s="29">
        <f t="shared" si="6"/>
        <v>1091.437294</v>
      </c>
      <c r="E98" s="23">
        <f t="shared" si="5"/>
        <v>102991.0342</v>
      </c>
      <c r="F98" s="23">
        <f>E98*'Parâmetros'!$B$13</f>
        <v>821.2649698</v>
      </c>
      <c r="G98" s="23">
        <f t="shared" si="2"/>
        <v>104903.7365</v>
      </c>
      <c r="H98" s="23">
        <f>G98/(1+'Parâmetros'!$B$14)^A98</f>
        <v>70714.87691</v>
      </c>
      <c r="I98" s="25">
        <f>H98/'Parâmetros'!$B$7</f>
        <v>0.07071487691</v>
      </c>
      <c r="J98" s="23">
        <f t="shared" si="3"/>
        <v>73511.74842</v>
      </c>
      <c r="K98" s="23">
        <f t="shared" si="4"/>
        <v>31391.98806</v>
      </c>
      <c r="L98" s="29"/>
      <c r="M98" s="23"/>
    </row>
    <row r="99" ht="15.75" customHeight="1">
      <c r="A99" s="22">
        <v>98.0</v>
      </c>
      <c r="B99" s="22">
        <f t="shared" si="1"/>
        <v>9</v>
      </c>
      <c r="C99" s="23">
        <f>C98*(1+'Parâmetros'!$B$16)</f>
        <v>1100.348712</v>
      </c>
      <c r="D99" s="29">
        <f t="shared" si="6"/>
        <v>1100.348712</v>
      </c>
      <c r="E99" s="23">
        <f t="shared" si="5"/>
        <v>104903.7365</v>
      </c>
      <c r="F99" s="23">
        <f>E99*'Parâmetros'!$B$13</f>
        <v>836.5171262</v>
      </c>
      <c r="G99" s="23">
        <f t="shared" si="2"/>
        <v>106840.6023</v>
      </c>
      <c r="H99" s="23">
        <f>G99/(1+'Parâmetros'!$B$14)^A99</f>
        <v>71728.27479</v>
      </c>
      <c r="I99" s="25">
        <f>H99/'Parâmetros'!$B$7</f>
        <v>0.07172827479</v>
      </c>
      <c r="J99" s="23">
        <f t="shared" si="3"/>
        <v>74612.09714</v>
      </c>
      <c r="K99" s="23">
        <f t="shared" si="4"/>
        <v>32228.50518</v>
      </c>
      <c r="L99" s="29"/>
      <c r="M99" s="23"/>
    </row>
    <row r="100" ht="15.75" customHeight="1">
      <c r="A100" s="22">
        <v>99.0</v>
      </c>
      <c r="B100" s="22">
        <f t="shared" si="1"/>
        <v>9</v>
      </c>
      <c r="C100" s="23">
        <f>C99*(1+'Parâmetros'!$B$16)</f>
        <v>1109.33289</v>
      </c>
      <c r="D100" s="29">
        <f t="shared" si="6"/>
        <v>1109.33289</v>
      </c>
      <c r="E100" s="23">
        <f t="shared" si="5"/>
        <v>106840.6023</v>
      </c>
      <c r="F100" s="23">
        <f>E100*'Parâmetros'!$B$13</f>
        <v>851.9619664</v>
      </c>
      <c r="G100" s="23">
        <f t="shared" si="2"/>
        <v>108801.8972</v>
      </c>
      <c r="H100" s="23">
        <f>G100/(1+'Parâmetros'!$B$14)^A100</f>
        <v>72748.61857</v>
      </c>
      <c r="I100" s="25">
        <f>H100/'Parâmetros'!$B$7</f>
        <v>0.07274861857</v>
      </c>
      <c r="J100" s="23">
        <f t="shared" si="3"/>
        <v>75721.43003</v>
      </c>
      <c r="K100" s="23">
        <f t="shared" si="4"/>
        <v>33080.46715</v>
      </c>
      <c r="L100" s="29"/>
      <c r="M100" s="23"/>
    </row>
    <row r="101" ht="15.75" customHeight="1">
      <c r="A101" s="22">
        <v>100.0</v>
      </c>
      <c r="B101" s="22">
        <f t="shared" si="1"/>
        <v>9</v>
      </c>
      <c r="C101" s="23">
        <f>C100*(1+'Parâmetros'!$B$16)</f>
        <v>1118.390422</v>
      </c>
      <c r="D101" s="29">
        <f t="shared" si="6"/>
        <v>1118.390422</v>
      </c>
      <c r="E101" s="23">
        <f t="shared" si="5"/>
        <v>108801.8972</v>
      </c>
      <c r="F101" s="23">
        <f>E101*'Parâmetros'!$B$13</f>
        <v>867.601607</v>
      </c>
      <c r="G101" s="23">
        <f t="shared" si="2"/>
        <v>110787.8892</v>
      </c>
      <c r="H101" s="23">
        <f>G101/(1+'Parâmetros'!$B$14)^A101</f>
        <v>73775.94749</v>
      </c>
      <c r="I101" s="25">
        <f>H101/'Parâmetros'!$B$7</f>
        <v>0.07377594749</v>
      </c>
      <c r="J101" s="23">
        <f t="shared" si="3"/>
        <v>76839.82045</v>
      </c>
      <c r="K101" s="23">
        <f t="shared" si="4"/>
        <v>33948.06876</v>
      </c>
      <c r="L101" s="29"/>
      <c r="M101" s="23"/>
    </row>
    <row r="102" ht="15.75" customHeight="1">
      <c r="A102" s="22">
        <v>101.0</v>
      </c>
      <c r="B102" s="22">
        <f t="shared" si="1"/>
        <v>9</v>
      </c>
      <c r="C102" s="23">
        <f>C101*(1+'Parâmetros'!$B$16)</f>
        <v>1127.521907</v>
      </c>
      <c r="D102" s="29">
        <f t="shared" si="6"/>
        <v>1127.521907</v>
      </c>
      <c r="E102" s="23">
        <f t="shared" si="5"/>
        <v>110787.8892</v>
      </c>
      <c r="F102" s="23">
        <f>E102*'Parâmetros'!$B$13</f>
        <v>883.4381863</v>
      </c>
      <c r="G102" s="23">
        <f t="shared" si="2"/>
        <v>112798.8493</v>
      </c>
      <c r="H102" s="23">
        <f>G102/(1+'Parâmetros'!$B$14)^A102</f>
        <v>74810.30099</v>
      </c>
      <c r="I102" s="25">
        <f>H102/'Parâmetros'!$B$7</f>
        <v>0.07481030099</v>
      </c>
      <c r="J102" s="23">
        <f t="shared" si="3"/>
        <v>77967.34235</v>
      </c>
      <c r="K102" s="23">
        <f t="shared" si="4"/>
        <v>34831.50694</v>
      </c>
      <c r="L102" s="29"/>
      <c r="M102" s="23"/>
    </row>
    <row r="103" ht="15.75" customHeight="1">
      <c r="A103" s="22">
        <v>102.0</v>
      </c>
      <c r="B103" s="22">
        <f t="shared" si="1"/>
        <v>9</v>
      </c>
      <c r="C103" s="23">
        <f>C102*(1+'Parâmetros'!$B$16)</f>
        <v>1136.72795</v>
      </c>
      <c r="D103" s="29">
        <f t="shared" si="6"/>
        <v>1136.72795</v>
      </c>
      <c r="E103" s="23">
        <f t="shared" si="5"/>
        <v>112798.8493</v>
      </c>
      <c r="F103" s="23">
        <f>E103*'Parâmetros'!$B$13</f>
        <v>899.4738645</v>
      </c>
      <c r="G103" s="23">
        <f t="shared" si="2"/>
        <v>114835.0511</v>
      </c>
      <c r="H103" s="23">
        <f>G103/(1+'Parâmetros'!$B$14)^A103</f>
        <v>75851.71873</v>
      </c>
      <c r="I103" s="25">
        <f>H103/'Parâmetros'!$B$7</f>
        <v>0.07585171873</v>
      </c>
      <c r="J103" s="23">
        <f t="shared" si="3"/>
        <v>79104.0703</v>
      </c>
      <c r="K103" s="23">
        <f t="shared" si="4"/>
        <v>35730.98081</v>
      </c>
      <c r="L103" s="29"/>
      <c r="M103" s="23"/>
    </row>
    <row r="104" ht="15.75" customHeight="1">
      <c r="A104" s="22">
        <v>103.0</v>
      </c>
      <c r="B104" s="22">
        <f t="shared" si="1"/>
        <v>9</v>
      </c>
      <c r="C104" s="23">
        <f>C103*(1+'Parâmetros'!$B$16)</f>
        <v>1146.009159</v>
      </c>
      <c r="D104" s="29">
        <f t="shared" si="6"/>
        <v>1146.009159</v>
      </c>
      <c r="E104" s="23">
        <f t="shared" si="5"/>
        <v>114835.0511</v>
      </c>
      <c r="F104" s="23">
        <f>E104*'Parâmetros'!$B$13</f>
        <v>915.7108237</v>
      </c>
      <c r="G104" s="23">
        <f t="shared" si="2"/>
        <v>116896.7711</v>
      </c>
      <c r="H104" s="23">
        <f>G104/(1+'Parâmetros'!$B$14)^A104</f>
        <v>76900.24055</v>
      </c>
      <c r="I104" s="25">
        <f>H104/'Parâmetros'!$B$7</f>
        <v>0.07690024055</v>
      </c>
      <c r="J104" s="23">
        <f t="shared" si="3"/>
        <v>80250.07946</v>
      </c>
      <c r="K104" s="23">
        <f t="shared" si="4"/>
        <v>36646.69163</v>
      </c>
      <c r="L104" s="29"/>
      <c r="M104" s="23"/>
    </row>
    <row r="105" ht="15.75" customHeight="1">
      <c r="A105" s="22">
        <v>104.0</v>
      </c>
      <c r="B105" s="22">
        <f t="shared" si="1"/>
        <v>9</v>
      </c>
      <c r="C105" s="23">
        <f>C104*(1+'Parâmetros'!$B$16)</f>
        <v>1155.366147</v>
      </c>
      <c r="D105" s="29">
        <f t="shared" si="6"/>
        <v>1155.366147</v>
      </c>
      <c r="E105" s="23">
        <f t="shared" si="5"/>
        <v>116896.7711</v>
      </c>
      <c r="F105" s="23">
        <f>E105*'Parâmetros'!$B$13</f>
        <v>932.1512684</v>
      </c>
      <c r="G105" s="23">
        <f t="shared" si="2"/>
        <v>118984.2885</v>
      </c>
      <c r="H105" s="23">
        <f>G105/(1+'Parâmetros'!$B$14)^A105</f>
        <v>77955.9065</v>
      </c>
      <c r="I105" s="25">
        <f>H105/'Parâmetros'!$B$7</f>
        <v>0.0779559065</v>
      </c>
      <c r="J105" s="23">
        <f t="shared" si="3"/>
        <v>81405.44561</v>
      </c>
      <c r="K105" s="23">
        <f t="shared" si="4"/>
        <v>37578.8429</v>
      </c>
      <c r="L105" s="29"/>
      <c r="M105" s="23"/>
    </row>
    <row r="106" ht="15.75" customHeight="1">
      <c r="A106" s="22">
        <v>105.0</v>
      </c>
      <c r="B106" s="22">
        <f t="shared" si="1"/>
        <v>9</v>
      </c>
      <c r="C106" s="23">
        <f>C105*(1+'Parâmetros'!$B$16)</f>
        <v>1164.799534</v>
      </c>
      <c r="D106" s="29">
        <f t="shared" si="6"/>
        <v>1164.799534</v>
      </c>
      <c r="E106" s="23">
        <f t="shared" si="5"/>
        <v>118984.2885</v>
      </c>
      <c r="F106" s="23">
        <f>E106*'Parâmetros'!$B$13</f>
        <v>948.7974254</v>
      </c>
      <c r="G106" s="23">
        <f t="shared" si="2"/>
        <v>121097.8855</v>
      </c>
      <c r="H106" s="23">
        <f>G106/(1+'Parâmetros'!$B$14)^A106</f>
        <v>79018.75686</v>
      </c>
      <c r="I106" s="25">
        <f>H106/'Parâmetros'!$B$7</f>
        <v>0.07901875686</v>
      </c>
      <c r="J106" s="23">
        <f t="shared" si="3"/>
        <v>82570.24514</v>
      </c>
      <c r="K106" s="23">
        <f t="shared" si="4"/>
        <v>38527.64033</v>
      </c>
      <c r="L106" s="29"/>
      <c r="M106" s="23"/>
    </row>
    <row r="107" ht="15.75" customHeight="1">
      <c r="A107" s="22">
        <v>106.0</v>
      </c>
      <c r="B107" s="22">
        <f t="shared" si="1"/>
        <v>9</v>
      </c>
      <c r="C107" s="23">
        <f>C106*(1+'Parâmetros'!$B$16)</f>
        <v>1174.309943</v>
      </c>
      <c r="D107" s="29">
        <f t="shared" si="6"/>
        <v>1174.309943</v>
      </c>
      <c r="E107" s="23">
        <f t="shared" si="5"/>
        <v>121097.8855</v>
      </c>
      <c r="F107" s="23">
        <f>E107*'Parâmetros'!$B$13</f>
        <v>965.6515444</v>
      </c>
      <c r="G107" s="23">
        <f t="shared" si="2"/>
        <v>123237.847</v>
      </c>
      <c r="H107" s="23">
        <f>G107/(1+'Parâmetros'!$B$14)^A107</f>
        <v>80088.83209</v>
      </c>
      <c r="I107" s="25">
        <f>H107/'Parâmetros'!$B$7</f>
        <v>0.08008883209</v>
      </c>
      <c r="J107" s="23">
        <f t="shared" si="3"/>
        <v>83744.55509</v>
      </c>
      <c r="K107" s="23">
        <f t="shared" si="4"/>
        <v>39493.29187</v>
      </c>
      <c r="L107" s="29"/>
      <c r="M107" s="23"/>
    </row>
    <row r="108" ht="15.75" customHeight="1">
      <c r="A108" s="22">
        <v>107.0</v>
      </c>
      <c r="B108" s="22">
        <f t="shared" si="1"/>
        <v>9</v>
      </c>
      <c r="C108" s="23">
        <f>C107*(1+'Parâmetros'!$B$16)</f>
        <v>1183.898003</v>
      </c>
      <c r="D108" s="29">
        <f t="shared" si="6"/>
        <v>1183.898003</v>
      </c>
      <c r="E108" s="23">
        <f t="shared" si="5"/>
        <v>123237.847</v>
      </c>
      <c r="F108" s="23">
        <f>E108*'Parâmetros'!$B$13</f>
        <v>982.7158978</v>
      </c>
      <c r="G108" s="23">
        <f t="shared" si="2"/>
        <v>125404.4609</v>
      </c>
      <c r="H108" s="23">
        <f>G108/(1+'Parâmetros'!$B$14)^A108</f>
        <v>81166.17287</v>
      </c>
      <c r="I108" s="25">
        <f>H108/'Parâmetros'!$B$7</f>
        <v>0.08116617287</v>
      </c>
      <c r="J108" s="23">
        <f t="shared" si="3"/>
        <v>84928.45309</v>
      </c>
      <c r="K108" s="23">
        <f t="shared" si="4"/>
        <v>40476.00777</v>
      </c>
      <c r="L108" s="29"/>
      <c r="M108" s="23"/>
    </row>
    <row r="109" ht="15.75" customHeight="1">
      <c r="A109" s="22">
        <v>108.0</v>
      </c>
      <c r="B109" s="22">
        <f t="shared" si="1"/>
        <v>9</v>
      </c>
      <c r="C109" s="23">
        <f>C108*(1+'Parâmetros'!$B$16)</f>
        <v>1193.564348</v>
      </c>
      <c r="D109" s="29">
        <f t="shared" si="6"/>
        <v>1193.564348</v>
      </c>
      <c r="E109" s="23">
        <f t="shared" si="5"/>
        <v>125404.4609</v>
      </c>
      <c r="F109" s="23">
        <f>E109*'Parâmetros'!$B$13</f>
        <v>999.9927813</v>
      </c>
      <c r="G109" s="23">
        <f t="shared" si="2"/>
        <v>127598.018</v>
      </c>
      <c r="H109" s="23">
        <f>G109/(1+'Parâmetros'!$B$14)^A109</f>
        <v>82250.82009</v>
      </c>
      <c r="I109" s="25">
        <f>H109/'Parâmetros'!$B$7</f>
        <v>0.08225082009</v>
      </c>
      <c r="J109" s="23">
        <f t="shared" si="3"/>
        <v>86122.01744</v>
      </c>
      <c r="K109" s="23">
        <f t="shared" si="4"/>
        <v>41476.00055</v>
      </c>
      <c r="L109" s="29"/>
      <c r="M109" s="23"/>
    </row>
    <row r="110" ht="15.75" customHeight="1">
      <c r="A110" s="22">
        <v>109.0</v>
      </c>
      <c r="B110" s="22">
        <f t="shared" si="1"/>
        <v>10</v>
      </c>
      <c r="C110" s="23">
        <f>C109*(1+'Parâmetros'!$B$16)</f>
        <v>1203.309617</v>
      </c>
      <c r="D110" s="29">
        <f t="shared" si="6"/>
        <v>1203.309617</v>
      </c>
      <c r="E110" s="23">
        <f t="shared" si="5"/>
        <v>127598.018</v>
      </c>
      <c r="F110" s="23">
        <f>E110*'Parâmetros'!$B$13</f>
        <v>1017.484514</v>
      </c>
      <c r="G110" s="23">
        <f t="shared" si="2"/>
        <v>129818.8121</v>
      </c>
      <c r="H110" s="23">
        <f>G110/(1+'Parâmetros'!$B$14)^A110</f>
        <v>83342.81484</v>
      </c>
      <c r="I110" s="25">
        <f>H110/'Parâmetros'!$B$7</f>
        <v>0.08334281484</v>
      </c>
      <c r="J110" s="23">
        <f t="shared" si="3"/>
        <v>87325.32705</v>
      </c>
      <c r="K110" s="23">
        <f t="shared" si="4"/>
        <v>42493.48506</v>
      </c>
      <c r="L110" s="29"/>
      <c r="M110" s="23"/>
    </row>
    <row r="111" ht="15.75" customHeight="1">
      <c r="A111" s="22">
        <v>110.0</v>
      </c>
      <c r="B111" s="22">
        <f t="shared" si="1"/>
        <v>10</v>
      </c>
      <c r="C111" s="23">
        <f>C110*(1+'Parâmetros'!$B$16)</f>
        <v>1213.134455</v>
      </c>
      <c r="D111" s="29">
        <f t="shared" si="6"/>
        <v>1213.134455</v>
      </c>
      <c r="E111" s="23">
        <f t="shared" si="5"/>
        <v>129818.8121</v>
      </c>
      <c r="F111" s="23">
        <f>E111*'Parâmetros'!$B$13</f>
        <v>1035.193438</v>
      </c>
      <c r="G111" s="23">
        <f t="shared" si="2"/>
        <v>132067.14</v>
      </c>
      <c r="H111" s="23">
        <f>G111/(1+'Parâmetros'!$B$14)^A111</f>
        <v>84442.19844</v>
      </c>
      <c r="I111" s="25">
        <f>H111/'Parâmetros'!$B$7</f>
        <v>0.08444219844</v>
      </c>
      <c r="J111" s="23">
        <f t="shared" si="3"/>
        <v>88538.46151</v>
      </c>
      <c r="K111" s="23">
        <f t="shared" si="4"/>
        <v>43528.6785</v>
      </c>
      <c r="L111" s="29"/>
      <c r="M111" s="23"/>
    </row>
    <row r="112" ht="15.75" customHeight="1">
      <c r="A112" s="22">
        <v>111.0</v>
      </c>
      <c r="B112" s="22">
        <f t="shared" si="1"/>
        <v>10</v>
      </c>
      <c r="C112" s="23">
        <f>C111*(1+'Parâmetros'!$B$16)</f>
        <v>1223.039511</v>
      </c>
      <c r="D112" s="29">
        <f t="shared" si="6"/>
        <v>1223.039511</v>
      </c>
      <c r="E112" s="23">
        <f t="shared" si="5"/>
        <v>132067.14</v>
      </c>
      <c r="F112" s="23">
        <f>E112*'Parâmetros'!$B$13</f>
        <v>1053.12192</v>
      </c>
      <c r="G112" s="23">
        <f t="shared" si="2"/>
        <v>134343.3014</v>
      </c>
      <c r="H112" s="23">
        <f>G112/(1+'Parâmetros'!$B$14)^A112</f>
        <v>85549.01241</v>
      </c>
      <c r="I112" s="25">
        <f>H112/'Parâmetros'!$B$7</f>
        <v>0.08554901241</v>
      </c>
      <c r="J112" s="23">
        <f t="shared" si="3"/>
        <v>89761.50102</v>
      </c>
      <c r="K112" s="23">
        <f t="shared" si="4"/>
        <v>44581.80042</v>
      </c>
      <c r="L112" s="29"/>
      <c r="M112" s="23"/>
    </row>
    <row r="113" ht="15.75" customHeight="1">
      <c r="A113" s="22">
        <v>112.0</v>
      </c>
      <c r="B113" s="22">
        <f t="shared" si="1"/>
        <v>10</v>
      </c>
      <c r="C113" s="23">
        <f>C112*(1+'Parâmetros'!$B$16)</f>
        <v>1233.02544</v>
      </c>
      <c r="D113" s="29">
        <f t="shared" si="6"/>
        <v>1233.02544</v>
      </c>
      <c r="E113" s="23">
        <f t="shared" si="5"/>
        <v>134343.3014</v>
      </c>
      <c r="F113" s="23">
        <f>E113*'Parâmetros'!$B$13</f>
        <v>1071.272351</v>
      </c>
      <c r="G113" s="23">
        <f t="shared" si="2"/>
        <v>136647.5992</v>
      </c>
      <c r="H113" s="23">
        <f>G113/(1+'Parâmetros'!$B$14)^A113</f>
        <v>86663.29848</v>
      </c>
      <c r="I113" s="25">
        <f>H113/'Parâmetros'!$B$7</f>
        <v>0.08666329848</v>
      </c>
      <c r="J113" s="23">
        <f t="shared" si="3"/>
        <v>90994.52646</v>
      </c>
      <c r="K113" s="23">
        <f t="shared" si="4"/>
        <v>45653.07277</v>
      </c>
      <c r="L113" s="29"/>
      <c r="M113" s="23"/>
    </row>
    <row r="114" ht="15.75" customHeight="1">
      <c r="A114" s="22">
        <v>113.0</v>
      </c>
      <c r="B114" s="22">
        <f t="shared" si="1"/>
        <v>10</v>
      </c>
      <c r="C114" s="23">
        <f>C113*(1+'Parâmetros'!$B$16)</f>
        <v>1243.092903</v>
      </c>
      <c r="D114" s="29">
        <f t="shared" si="6"/>
        <v>1243.092903</v>
      </c>
      <c r="E114" s="23">
        <f t="shared" si="5"/>
        <v>136647.5992</v>
      </c>
      <c r="F114" s="23">
        <f>E114*'Parâmetros'!$B$13</f>
        <v>1089.647146</v>
      </c>
      <c r="G114" s="23">
        <f t="shared" si="2"/>
        <v>138980.3393</v>
      </c>
      <c r="H114" s="23">
        <f>G114/(1+'Parâmetros'!$B$14)^A114</f>
        <v>87785.09861</v>
      </c>
      <c r="I114" s="25">
        <f>H114/'Parâmetros'!$B$7</f>
        <v>0.08778509861</v>
      </c>
      <c r="J114" s="23">
        <f t="shared" si="3"/>
        <v>92237.61936</v>
      </c>
      <c r="K114" s="23">
        <f t="shared" si="4"/>
        <v>46742.71992</v>
      </c>
      <c r="L114" s="29"/>
      <c r="M114" s="23"/>
    </row>
    <row r="115" ht="15.75" customHeight="1">
      <c r="A115" s="22">
        <v>114.0</v>
      </c>
      <c r="B115" s="22">
        <f t="shared" si="1"/>
        <v>10</v>
      </c>
      <c r="C115" s="23">
        <f>C114*(1+'Parâmetros'!$B$16)</f>
        <v>1253.242565</v>
      </c>
      <c r="D115" s="29">
        <f t="shared" si="6"/>
        <v>1253.242565</v>
      </c>
      <c r="E115" s="23">
        <f t="shared" si="5"/>
        <v>138980.3393</v>
      </c>
      <c r="F115" s="23">
        <f>E115*'Parâmetros'!$B$13</f>
        <v>1108.248742</v>
      </c>
      <c r="G115" s="23">
        <f t="shared" si="2"/>
        <v>141341.8306</v>
      </c>
      <c r="H115" s="23">
        <f>G115/(1+'Parâmetros'!$B$14)^A115</f>
        <v>88914.45496</v>
      </c>
      <c r="I115" s="25">
        <f>H115/'Parâmetros'!$B$7</f>
        <v>0.08891445496</v>
      </c>
      <c r="J115" s="23">
        <f t="shared" si="3"/>
        <v>93490.86193</v>
      </c>
      <c r="K115" s="23">
        <f t="shared" si="4"/>
        <v>47850.96866</v>
      </c>
      <c r="L115" s="29"/>
      <c r="M115" s="23"/>
    </row>
    <row r="116" ht="15.75" customHeight="1">
      <c r="A116" s="22">
        <v>115.0</v>
      </c>
      <c r="B116" s="22">
        <f t="shared" si="1"/>
        <v>10</v>
      </c>
      <c r="C116" s="23">
        <f>C115*(1+'Parâmetros'!$B$16)</f>
        <v>1263.475098</v>
      </c>
      <c r="D116" s="29">
        <f t="shared" si="6"/>
        <v>1263.475098</v>
      </c>
      <c r="E116" s="23">
        <f t="shared" si="5"/>
        <v>141341.8306</v>
      </c>
      <c r="F116" s="23">
        <f>E116*'Parâmetros'!$B$13</f>
        <v>1127.079606</v>
      </c>
      <c r="G116" s="23">
        <f t="shared" si="2"/>
        <v>143732.3853</v>
      </c>
      <c r="H116" s="23">
        <f>G116/(1+'Parâmetros'!$B$14)^A116</f>
        <v>90051.40991</v>
      </c>
      <c r="I116" s="25">
        <f>H116/'Parâmetros'!$B$7</f>
        <v>0.09005140991</v>
      </c>
      <c r="J116" s="23">
        <f t="shared" si="3"/>
        <v>94754.33703</v>
      </c>
      <c r="K116" s="23">
        <f t="shared" si="4"/>
        <v>48978.04827</v>
      </c>
      <c r="L116" s="29"/>
      <c r="M116" s="23"/>
    </row>
    <row r="117" ht="15.75" customHeight="1">
      <c r="A117" s="22">
        <v>116.0</v>
      </c>
      <c r="B117" s="22">
        <f t="shared" si="1"/>
        <v>10</v>
      </c>
      <c r="C117" s="23">
        <f>C116*(1+'Parâmetros'!$B$16)</f>
        <v>1273.791177</v>
      </c>
      <c r="D117" s="29">
        <f t="shared" si="6"/>
        <v>1273.791177</v>
      </c>
      <c r="E117" s="23">
        <f t="shared" si="5"/>
        <v>143732.3853</v>
      </c>
      <c r="F117" s="23">
        <f>E117*'Parâmetros'!$B$13</f>
        <v>1146.142224</v>
      </c>
      <c r="G117" s="23">
        <f t="shared" si="2"/>
        <v>146152.3187</v>
      </c>
      <c r="H117" s="23">
        <f>G117/(1+'Parâmetros'!$B$14)^A117</f>
        <v>91196.00606</v>
      </c>
      <c r="I117" s="25">
        <f>H117/'Parâmetros'!$B$7</f>
        <v>0.09119600606</v>
      </c>
      <c r="J117" s="23">
        <f t="shared" si="3"/>
        <v>96028.1282</v>
      </c>
      <c r="K117" s="23">
        <f t="shared" si="4"/>
        <v>50124.19049</v>
      </c>
      <c r="L117" s="29"/>
      <c r="M117" s="23"/>
    </row>
    <row r="118" ht="15.75" customHeight="1">
      <c r="A118" s="22">
        <v>117.0</v>
      </c>
      <c r="B118" s="22">
        <f t="shared" si="1"/>
        <v>10</v>
      </c>
      <c r="C118" s="23">
        <f>C117*(1+'Parâmetros'!$B$16)</f>
        <v>1284.191486</v>
      </c>
      <c r="D118" s="29">
        <f t="shared" si="6"/>
        <v>1284.191486</v>
      </c>
      <c r="E118" s="23">
        <f t="shared" si="5"/>
        <v>146152.3187</v>
      </c>
      <c r="F118" s="23">
        <f>E118*'Parâmetros'!$B$13</f>
        <v>1165.439113</v>
      </c>
      <c r="G118" s="23">
        <f t="shared" si="2"/>
        <v>148601.9493</v>
      </c>
      <c r="H118" s="23">
        <f>G118/(1+'Parâmetros'!$B$14)^A118</f>
        <v>92348.28624</v>
      </c>
      <c r="I118" s="25">
        <f>H118/'Parâmetros'!$B$7</f>
        <v>0.09234828624</v>
      </c>
      <c r="J118" s="23">
        <f t="shared" si="3"/>
        <v>97312.31969</v>
      </c>
      <c r="K118" s="23">
        <f t="shared" si="4"/>
        <v>51289.6296</v>
      </c>
      <c r="L118" s="29"/>
      <c r="M118" s="23"/>
    </row>
    <row r="119" ht="15.75" customHeight="1">
      <c r="A119" s="22">
        <v>118.0</v>
      </c>
      <c r="B119" s="22">
        <f t="shared" si="1"/>
        <v>10</v>
      </c>
      <c r="C119" s="23">
        <f>C118*(1+'Parâmetros'!$B$16)</f>
        <v>1294.676712</v>
      </c>
      <c r="D119" s="29">
        <f t="shared" si="6"/>
        <v>1294.676712</v>
      </c>
      <c r="E119" s="23">
        <f t="shared" si="5"/>
        <v>148601.9493</v>
      </c>
      <c r="F119" s="23">
        <f>E119*'Parâmetros'!$B$13</f>
        <v>1184.972812</v>
      </c>
      <c r="G119" s="23">
        <f t="shared" si="2"/>
        <v>151081.5988</v>
      </c>
      <c r="H119" s="23">
        <f>G119/(1+'Parâmetros'!$B$14)^A119</f>
        <v>93508.29348</v>
      </c>
      <c r="I119" s="25">
        <f>H119/'Parâmetros'!$B$7</f>
        <v>0.09350829348</v>
      </c>
      <c r="J119" s="23">
        <f t="shared" si="3"/>
        <v>98606.9964</v>
      </c>
      <c r="K119" s="23">
        <f t="shared" si="4"/>
        <v>52474.60242</v>
      </c>
      <c r="L119" s="29"/>
      <c r="M119" s="23"/>
    </row>
    <row r="120" ht="15.75" customHeight="1">
      <c r="A120" s="22">
        <v>119.0</v>
      </c>
      <c r="B120" s="22">
        <f t="shared" si="1"/>
        <v>10</v>
      </c>
      <c r="C120" s="23">
        <f>C119*(1+'Parâmetros'!$B$16)</f>
        <v>1305.247548</v>
      </c>
      <c r="D120" s="29">
        <f t="shared" si="6"/>
        <v>1305.247548</v>
      </c>
      <c r="E120" s="23">
        <f t="shared" si="5"/>
        <v>151081.5988</v>
      </c>
      <c r="F120" s="23">
        <f>E120*'Parâmetros'!$B$13</f>
        <v>1204.745885</v>
      </c>
      <c r="G120" s="23">
        <f t="shared" si="2"/>
        <v>153591.5923</v>
      </c>
      <c r="H120" s="23">
        <f>G120/(1+'Parâmetros'!$B$14)^A120</f>
        <v>94676.07104</v>
      </c>
      <c r="I120" s="25">
        <f>H120/'Parâmetros'!$B$7</f>
        <v>0.09467607104</v>
      </c>
      <c r="J120" s="23">
        <f t="shared" si="3"/>
        <v>99912.24395</v>
      </c>
      <c r="K120" s="23">
        <f t="shared" si="4"/>
        <v>53679.3483</v>
      </c>
      <c r="L120" s="29"/>
      <c r="M120" s="23"/>
    </row>
    <row r="121" ht="15.75" customHeight="1">
      <c r="A121" s="22">
        <v>120.0</v>
      </c>
      <c r="B121" s="22">
        <f t="shared" si="1"/>
        <v>10</v>
      </c>
      <c r="C121" s="23">
        <f>C120*(1+'Parâmetros'!$B$16)</f>
        <v>1315.904693</v>
      </c>
      <c r="D121" s="29">
        <f t="shared" si="6"/>
        <v>1315.904693</v>
      </c>
      <c r="E121" s="23">
        <f t="shared" si="5"/>
        <v>153591.5923</v>
      </c>
      <c r="F121" s="23">
        <f>E121*'Parâmetros'!$B$13</f>
        <v>1224.760925</v>
      </c>
      <c r="G121" s="23">
        <f t="shared" si="2"/>
        <v>156132.2579</v>
      </c>
      <c r="H121" s="23">
        <f>G121/(1+'Parâmetros'!$B$14)^A121</f>
        <v>95851.66241</v>
      </c>
      <c r="I121" s="25">
        <f>H121/'Parâmetros'!$B$7</f>
        <v>0.09585166241</v>
      </c>
      <c r="J121" s="23">
        <f t="shared" si="3"/>
        <v>101228.1486</v>
      </c>
      <c r="K121" s="23">
        <f t="shared" si="4"/>
        <v>54904.10923</v>
      </c>
      <c r="L121" s="29"/>
      <c r="M121" s="23"/>
    </row>
    <row r="122" ht="15.75" customHeight="1">
      <c r="A122" s="22">
        <v>121.0</v>
      </c>
      <c r="B122" s="22">
        <f t="shared" si="1"/>
        <v>11</v>
      </c>
      <c r="C122" s="23">
        <f>C121*(1+'Parâmetros'!$B$16)</f>
        <v>1326.648853</v>
      </c>
      <c r="D122" s="29">
        <f t="shared" si="6"/>
        <v>1326.648853</v>
      </c>
      <c r="E122" s="23">
        <f t="shared" si="5"/>
        <v>156132.2579</v>
      </c>
      <c r="F122" s="23">
        <f>E122*'Parâmetros'!$B$13</f>
        <v>1245.02055</v>
      </c>
      <c r="G122" s="23">
        <f t="shared" si="2"/>
        <v>158703.9273</v>
      </c>
      <c r="H122" s="23">
        <f>G122/(1+'Parâmetros'!$B$14)^A122</f>
        <v>97035.11129</v>
      </c>
      <c r="I122" s="25">
        <f>H122/'Parâmetros'!$B$7</f>
        <v>0.09703511129</v>
      </c>
      <c r="J122" s="23">
        <f t="shared" si="3"/>
        <v>102554.7975</v>
      </c>
      <c r="K122" s="23">
        <f t="shared" si="4"/>
        <v>56149.12978</v>
      </c>
      <c r="L122" s="29"/>
      <c r="M122" s="23"/>
    </row>
    <row r="123" ht="15.75" customHeight="1">
      <c r="A123" s="22">
        <v>122.0</v>
      </c>
      <c r="B123" s="22">
        <f t="shared" si="1"/>
        <v>11</v>
      </c>
      <c r="C123" s="23">
        <f>C122*(1+'Parâmetros'!$B$16)</f>
        <v>1337.480736</v>
      </c>
      <c r="D123" s="29">
        <f t="shared" si="6"/>
        <v>1337.480736</v>
      </c>
      <c r="E123" s="23">
        <f t="shared" si="5"/>
        <v>158703.9273</v>
      </c>
      <c r="F123" s="23">
        <f>E123*'Parâmetros'!$B$13</f>
        <v>1265.527403</v>
      </c>
      <c r="G123" s="23">
        <f t="shared" si="2"/>
        <v>161306.9354</v>
      </c>
      <c r="H123" s="23">
        <f>G123/(1+'Parâmetros'!$B$14)^A123</f>
        <v>98226.4616</v>
      </c>
      <c r="I123" s="25">
        <f>H123/'Parâmetros'!$B$7</f>
        <v>0.0982264616</v>
      </c>
      <c r="J123" s="23">
        <f t="shared" si="3"/>
        <v>103892.2782</v>
      </c>
      <c r="K123" s="23">
        <f t="shared" si="4"/>
        <v>57414.65718</v>
      </c>
      <c r="L123" s="29"/>
      <c r="M123" s="23"/>
    </row>
    <row r="124" ht="15.75" customHeight="1">
      <c r="A124" s="22">
        <v>123.0</v>
      </c>
      <c r="B124" s="22">
        <f t="shared" si="1"/>
        <v>11</v>
      </c>
      <c r="C124" s="23">
        <f>C123*(1+'Parâmetros'!$B$16)</f>
        <v>1348.401061</v>
      </c>
      <c r="D124" s="29">
        <f t="shared" si="6"/>
        <v>1348.401061</v>
      </c>
      <c r="E124" s="23">
        <f t="shared" si="5"/>
        <v>161306.9354</v>
      </c>
      <c r="F124" s="23">
        <f>E124*'Parâmetros'!$B$13</f>
        <v>1286.284155</v>
      </c>
      <c r="G124" s="23">
        <f t="shared" si="2"/>
        <v>163941.6206</v>
      </c>
      <c r="H124" s="23">
        <f>G124/(1+'Parâmetros'!$B$14)^A124</f>
        <v>99425.7575</v>
      </c>
      <c r="I124" s="25">
        <f>H124/'Parâmetros'!$B$7</f>
        <v>0.0994257575</v>
      </c>
      <c r="J124" s="23">
        <f t="shared" si="3"/>
        <v>105240.6793</v>
      </c>
      <c r="K124" s="23">
        <f t="shared" si="4"/>
        <v>58700.94133</v>
      </c>
      <c r="L124" s="29"/>
      <c r="M124" s="23"/>
    </row>
    <row r="125" ht="15.75" customHeight="1">
      <c r="A125" s="30">
        <v>124.0</v>
      </c>
      <c r="B125" s="30">
        <f t="shared" si="1"/>
        <v>11</v>
      </c>
      <c r="C125" s="31">
        <f>C124*(1+'Parâmetros'!$B$16)</f>
        <v>1359.410548</v>
      </c>
      <c r="D125" s="32">
        <f t="shared" si="6"/>
        <v>1359.410548</v>
      </c>
      <c r="E125" s="31">
        <f t="shared" si="5"/>
        <v>163941.6206</v>
      </c>
      <c r="F125" s="31">
        <f>E125*'Parâmetros'!$B$13</f>
        <v>1307.293505</v>
      </c>
      <c r="G125" s="31">
        <f t="shared" si="2"/>
        <v>166608.3247</v>
      </c>
      <c r="H125" s="31">
        <f>G125/(1+'Parâmetros'!$B$14)^A125</f>
        <v>100633.0434</v>
      </c>
      <c r="I125" s="33">
        <f>H125/'Parâmetros'!$B$7</f>
        <v>0.1006330434</v>
      </c>
      <c r="J125" s="31">
        <f t="shared" si="3"/>
        <v>106600.0898</v>
      </c>
      <c r="K125" s="31">
        <f t="shared" si="4"/>
        <v>60008.23484</v>
      </c>
      <c r="L125" s="29"/>
      <c r="M125" s="23"/>
    </row>
    <row r="126" ht="15.75" customHeight="1">
      <c r="A126" s="22">
        <v>125.0</v>
      </c>
      <c r="B126" s="22">
        <f t="shared" si="1"/>
        <v>11</v>
      </c>
      <c r="C126" s="23">
        <f>C125*(1+'Parâmetros'!$B$16)</f>
        <v>1370.509925</v>
      </c>
      <c r="D126" s="29">
        <f t="shared" si="6"/>
        <v>1370.509925</v>
      </c>
      <c r="E126" s="23">
        <f t="shared" si="5"/>
        <v>166608.3247</v>
      </c>
      <c r="F126" s="23">
        <f>E126*'Parâmetros'!$B$13</f>
        <v>1328.558178</v>
      </c>
      <c r="G126" s="23">
        <f t="shared" si="2"/>
        <v>169307.3928</v>
      </c>
      <c r="H126" s="23">
        <f>G126/(1+'Parâmetros'!$B$14)^A126</f>
        <v>101848.3638</v>
      </c>
      <c r="I126" s="25">
        <f>H126/'Parâmetros'!$B$7</f>
        <v>0.1018483638</v>
      </c>
      <c r="J126" s="23">
        <f t="shared" si="3"/>
        <v>107970.5998</v>
      </c>
      <c r="K126" s="23">
        <f t="shared" si="4"/>
        <v>61336.79302</v>
      </c>
      <c r="L126" s="29"/>
      <c r="M126" s="23"/>
    </row>
    <row r="127" ht="15.75" customHeight="1">
      <c r="A127" s="22">
        <v>126.0</v>
      </c>
      <c r="B127" s="22">
        <f t="shared" si="1"/>
        <v>11</v>
      </c>
      <c r="C127" s="23">
        <f>C126*(1+'Parâmetros'!$B$16)</f>
        <v>1381.699928</v>
      </c>
      <c r="D127" s="29">
        <f t="shared" si="6"/>
        <v>1381.699928</v>
      </c>
      <c r="E127" s="23">
        <f t="shared" si="5"/>
        <v>169307.3928</v>
      </c>
      <c r="F127" s="23">
        <f>E127*'Parâmetros'!$B$13</f>
        <v>1350.080926</v>
      </c>
      <c r="G127" s="23">
        <f t="shared" si="2"/>
        <v>172039.1736</v>
      </c>
      <c r="H127" s="23">
        <f>G127/(1+'Parâmetros'!$B$14)^A127</f>
        <v>103071.7637</v>
      </c>
      <c r="I127" s="25">
        <f>H127/'Parâmetros'!$B$7</f>
        <v>0.1030717637</v>
      </c>
      <c r="J127" s="23">
        <f t="shared" si="3"/>
        <v>109352.2997</v>
      </c>
      <c r="K127" s="23">
        <f t="shared" si="4"/>
        <v>62686.87394</v>
      </c>
      <c r="L127" s="29"/>
      <c r="M127" s="23"/>
    </row>
    <row r="128" ht="15.75" customHeight="1">
      <c r="A128" s="22">
        <v>127.0</v>
      </c>
      <c r="B128" s="22">
        <f t="shared" si="1"/>
        <v>11</v>
      </c>
      <c r="C128" s="23">
        <f>C127*(1+'Parâmetros'!$B$16)</f>
        <v>1392.981295</v>
      </c>
      <c r="D128" s="29">
        <f t="shared" si="6"/>
        <v>1392.981295</v>
      </c>
      <c r="E128" s="23">
        <f t="shared" si="5"/>
        <v>172039.1736</v>
      </c>
      <c r="F128" s="23">
        <f>E128*'Parâmetros'!$B$13</f>
        <v>1371.86453</v>
      </c>
      <c r="G128" s="23">
        <f t="shared" si="2"/>
        <v>174804.0195</v>
      </c>
      <c r="H128" s="23">
        <f>G128/(1+'Parâmetros'!$B$14)^A128</f>
        <v>104303.2881</v>
      </c>
      <c r="I128" s="25">
        <f>H128/'Parâmetros'!$B$7</f>
        <v>0.1043032881</v>
      </c>
      <c r="J128" s="23">
        <f t="shared" si="3"/>
        <v>110745.281</v>
      </c>
      <c r="K128" s="23">
        <f t="shared" si="4"/>
        <v>64058.73847</v>
      </c>
      <c r="L128" s="29"/>
      <c r="M128" s="23"/>
    </row>
    <row r="129" ht="15.75" customHeight="1">
      <c r="A129" s="22">
        <v>128.0</v>
      </c>
      <c r="B129" s="22">
        <f t="shared" si="1"/>
        <v>11</v>
      </c>
      <c r="C129" s="23">
        <f>C128*(1+'Parâmetros'!$B$16)</f>
        <v>1404.354773</v>
      </c>
      <c r="D129" s="29">
        <f t="shared" si="6"/>
        <v>1404.354773</v>
      </c>
      <c r="E129" s="23">
        <f t="shared" si="5"/>
        <v>174804.0195</v>
      </c>
      <c r="F129" s="23">
        <f>E129*'Parâmetros'!$B$13</f>
        <v>1393.911799</v>
      </c>
      <c r="G129" s="23">
        <f t="shared" si="2"/>
        <v>177602.286</v>
      </c>
      <c r="H129" s="23">
        <f>G129/(1+'Parâmetros'!$B$14)^A129</f>
        <v>105542.9822</v>
      </c>
      <c r="I129" s="25">
        <f>H129/'Parâmetros'!$B$7</f>
        <v>0.1055429822</v>
      </c>
      <c r="J129" s="23">
        <f t="shared" si="3"/>
        <v>112149.6358</v>
      </c>
      <c r="K129" s="23">
        <f t="shared" si="4"/>
        <v>65452.65027</v>
      </c>
      <c r="L129" s="29"/>
      <c r="M129" s="23"/>
    </row>
    <row r="130" ht="15.75" customHeight="1">
      <c r="A130" s="22">
        <v>129.0</v>
      </c>
      <c r="B130" s="22">
        <f t="shared" si="1"/>
        <v>11</v>
      </c>
      <c r="C130" s="23">
        <f>C129*(1+'Parâmetros'!$B$16)</f>
        <v>1415.821114</v>
      </c>
      <c r="D130" s="29">
        <f t="shared" si="6"/>
        <v>1415.821114</v>
      </c>
      <c r="E130" s="23">
        <f t="shared" si="5"/>
        <v>177602.286</v>
      </c>
      <c r="F130" s="23">
        <f>E130*'Parâmetros'!$B$13</f>
        <v>1416.225569</v>
      </c>
      <c r="G130" s="23">
        <f t="shared" si="2"/>
        <v>180434.3327</v>
      </c>
      <c r="H130" s="23">
        <f>G130/(1+'Parâmetros'!$B$14)^A130</f>
        <v>106790.8917</v>
      </c>
      <c r="I130" s="25">
        <f>H130/'Parâmetros'!$B$7</f>
        <v>0.1067908917</v>
      </c>
      <c r="J130" s="23">
        <f t="shared" si="3"/>
        <v>113565.4569</v>
      </c>
      <c r="K130" s="23">
        <f t="shared" si="4"/>
        <v>66868.87584</v>
      </c>
      <c r="L130" s="29"/>
      <c r="M130" s="23"/>
    </row>
    <row r="131" ht="15.75" customHeight="1">
      <c r="A131" s="22">
        <v>130.0</v>
      </c>
      <c r="B131" s="22">
        <f t="shared" si="1"/>
        <v>11</v>
      </c>
      <c r="C131" s="23">
        <f>C130*(1+'Parâmetros'!$B$16)</f>
        <v>1427.381075</v>
      </c>
      <c r="D131" s="29">
        <f t="shared" si="6"/>
        <v>1427.381075</v>
      </c>
      <c r="E131" s="23">
        <f t="shared" si="5"/>
        <v>180434.3327</v>
      </c>
      <c r="F131" s="23">
        <f>E131*'Parâmetros'!$B$13</f>
        <v>1438.808707</v>
      </c>
      <c r="G131" s="23">
        <f t="shared" si="2"/>
        <v>183300.5225</v>
      </c>
      <c r="H131" s="23">
        <f>G131/(1+'Parâmetros'!$B$14)^A131</f>
        <v>108047.0622</v>
      </c>
      <c r="I131" s="25">
        <f>H131/'Parâmetros'!$B$7</f>
        <v>0.1080470622</v>
      </c>
      <c r="J131" s="23">
        <f t="shared" si="3"/>
        <v>114992.8379</v>
      </c>
      <c r="K131" s="23">
        <f t="shared" si="4"/>
        <v>68307.68455</v>
      </c>
      <c r="L131" s="29"/>
      <c r="M131" s="23"/>
    </row>
    <row r="132" ht="15.75" customHeight="1">
      <c r="A132" s="22">
        <v>131.0</v>
      </c>
      <c r="B132" s="22">
        <f t="shared" si="1"/>
        <v>11</v>
      </c>
      <c r="C132" s="23">
        <f>C131*(1+'Parâmetros'!$B$16)</f>
        <v>1439.035422</v>
      </c>
      <c r="D132" s="29">
        <f t="shared" si="6"/>
        <v>1439.035422</v>
      </c>
      <c r="E132" s="23">
        <f t="shared" si="5"/>
        <v>183300.5225</v>
      </c>
      <c r="F132" s="23">
        <f>E132*'Parâmetros'!$B$13</f>
        <v>1461.664107</v>
      </c>
      <c r="G132" s="23">
        <f t="shared" si="2"/>
        <v>186201.222</v>
      </c>
      <c r="H132" s="23">
        <f>G132/(1+'Parâmetros'!$B$14)^A132</f>
        <v>109311.5398</v>
      </c>
      <c r="I132" s="25">
        <f>H132/'Parâmetros'!$B$7</f>
        <v>0.1093115398</v>
      </c>
      <c r="J132" s="23">
        <f t="shared" si="3"/>
        <v>116431.8734</v>
      </c>
      <c r="K132" s="23">
        <f t="shared" si="4"/>
        <v>69769.34865</v>
      </c>
      <c r="L132" s="29"/>
      <c r="M132" s="23"/>
    </row>
    <row r="133" ht="15.75" customHeight="1">
      <c r="A133" s="22">
        <v>132.0</v>
      </c>
      <c r="B133" s="22">
        <f t="shared" si="1"/>
        <v>11</v>
      </c>
      <c r="C133" s="23">
        <f>C132*(1+'Parâmetros'!$B$16)</f>
        <v>1450.784924</v>
      </c>
      <c r="D133" s="29">
        <f t="shared" si="6"/>
        <v>1450.784924</v>
      </c>
      <c r="E133" s="23">
        <f t="shared" si="5"/>
        <v>186201.222</v>
      </c>
      <c r="F133" s="23">
        <f>E133*'Parâmetros'!$B$13</f>
        <v>1484.794692</v>
      </c>
      <c r="G133" s="23">
        <f t="shared" si="2"/>
        <v>189136.8016</v>
      </c>
      <c r="H133" s="23">
        <f>G133/(1+'Parâmetros'!$B$14)^A133</f>
        <v>110584.3707</v>
      </c>
      <c r="I133" s="25">
        <f>H133/'Parâmetros'!$B$7</f>
        <v>0.1105843707</v>
      </c>
      <c r="J133" s="23">
        <f t="shared" si="3"/>
        <v>117882.6583</v>
      </c>
      <c r="K133" s="23">
        <f t="shared" si="4"/>
        <v>71254.14335</v>
      </c>
      <c r="L133" s="29"/>
      <c r="M133" s="23"/>
    </row>
    <row r="134" ht="15.75" customHeight="1">
      <c r="A134" s="22">
        <v>133.0</v>
      </c>
      <c r="B134" s="22">
        <f t="shared" si="1"/>
        <v>12</v>
      </c>
      <c r="C134" s="23">
        <f>C133*(1+'Parâmetros'!$B$16)</f>
        <v>1462.63036</v>
      </c>
      <c r="D134" s="29">
        <f t="shared" si="6"/>
        <v>1462.63036</v>
      </c>
      <c r="E134" s="23">
        <f t="shared" si="5"/>
        <v>189136.8016</v>
      </c>
      <c r="F134" s="23">
        <f>E134*'Parâmetros'!$B$13</f>
        <v>1508.203417</v>
      </c>
      <c r="G134" s="23">
        <f t="shared" si="2"/>
        <v>192107.6354</v>
      </c>
      <c r="H134" s="23">
        <f>G134/(1+'Parâmetros'!$B$14)^A134</f>
        <v>111865.6014</v>
      </c>
      <c r="I134" s="25">
        <f>H134/'Parâmetros'!$B$7</f>
        <v>0.1118656014</v>
      </c>
      <c r="J134" s="23">
        <f t="shared" si="3"/>
        <v>119345.2887</v>
      </c>
      <c r="K134" s="23">
        <f t="shared" si="4"/>
        <v>72762.34676</v>
      </c>
      <c r="L134" s="29"/>
      <c r="M134" s="23"/>
    </row>
    <row r="135" ht="15.75" customHeight="1">
      <c r="A135" s="22">
        <v>134.0</v>
      </c>
      <c r="B135" s="22">
        <f t="shared" si="1"/>
        <v>12</v>
      </c>
      <c r="C135" s="23">
        <f>C134*(1+'Parâmetros'!$B$16)</f>
        <v>1474.572512</v>
      </c>
      <c r="D135" s="29">
        <f t="shared" si="6"/>
        <v>1474.572512</v>
      </c>
      <c r="E135" s="23">
        <f t="shared" si="5"/>
        <v>192107.6354</v>
      </c>
      <c r="F135" s="23">
        <f>E135*'Parâmetros'!$B$13</f>
        <v>1531.893262</v>
      </c>
      <c r="G135" s="23">
        <f t="shared" si="2"/>
        <v>195114.1012</v>
      </c>
      <c r="H135" s="23">
        <f>G135/(1+'Parâmetros'!$B$14)^A135</f>
        <v>113155.2785</v>
      </c>
      <c r="I135" s="25">
        <f>H135/'Parâmetros'!$B$7</f>
        <v>0.1131552785</v>
      </c>
      <c r="J135" s="23">
        <f t="shared" si="3"/>
        <v>120819.8612</v>
      </c>
      <c r="K135" s="23">
        <f t="shared" si="4"/>
        <v>74294.24003</v>
      </c>
      <c r="L135" s="29"/>
      <c r="M135" s="23"/>
    </row>
    <row r="136" ht="15.75" customHeight="1">
      <c r="A136" s="22">
        <v>135.0</v>
      </c>
      <c r="B136" s="22">
        <f t="shared" si="1"/>
        <v>12</v>
      </c>
      <c r="C136" s="23">
        <f>C135*(1+'Parâmetros'!$B$16)</f>
        <v>1486.612169</v>
      </c>
      <c r="D136" s="29">
        <f t="shared" si="6"/>
        <v>1486.612169</v>
      </c>
      <c r="E136" s="23">
        <f t="shared" si="5"/>
        <v>195114.1012</v>
      </c>
      <c r="F136" s="23">
        <f>E136*'Parâmetros'!$B$13</f>
        <v>1555.867243</v>
      </c>
      <c r="G136" s="23">
        <f t="shared" si="2"/>
        <v>198156.5806</v>
      </c>
      <c r="H136" s="23">
        <f>G136/(1+'Parâmetros'!$B$14)^A136</f>
        <v>114453.4491</v>
      </c>
      <c r="I136" s="25">
        <f>H136/'Parâmetros'!$B$7</f>
        <v>0.1144534491</v>
      </c>
      <c r="J136" s="23">
        <f t="shared" si="3"/>
        <v>122306.4733</v>
      </c>
      <c r="K136" s="23">
        <f t="shared" si="4"/>
        <v>75850.10727</v>
      </c>
      <c r="L136" s="29"/>
      <c r="M136" s="23"/>
    </row>
    <row r="137" ht="15.75" customHeight="1">
      <c r="A137" s="22">
        <v>136.0</v>
      </c>
      <c r="B137" s="22">
        <f t="shared" si="1"/>
        <v>12</v>
      </c>
      <c r="C137" s="23">
        <f>C136*(1+'Parâmetros'!$B$16)</f>
        <v>1498.750129</v>
      </c>
      <c r="D137" s="29">
        <f t="shared" si="6"/>
        <v>1498.750129</v>
      </c>
      <c r="E137" s="23">
        <f t="shared" si="5"/>
        <v>198156.5806</v>
      </c>
      <c r="F137" s="23">
        <f>E137*'Parâmetros'!$B$13</f>
        <v>1580.128401</v>
      </c>
      <c r="G137" s="23">
        <f t="shared" si="2"/>
        <v>201235.4591</v>
      </c>
      <c r="H137" s="23">
        <f>G137/(1+'Parâmetros'!$B$14)^A137</f>
        <v>115760.1603</v>
      </c>
      <c r="I137" s="25">
        <f>H137/'Parâmetros'!$B$7</f>
        <v>0.1157601603</v>
      </c>
      <c r="J137" s="23">
        <f t="shared" si="3"/>
        <v>123805.2235</v>
      </c>
      <c r="K137" s="23">
        <f t="shared" si="4"/>
        <v>77430.23567</v>
      </c>
      <c r="L137" s="29"/>
      <c r="M137" s="23"/>
    </row>
    <row r="138" ht="15.75" customHeight="1">
      <c r="A138" s="22">
        <v>137.0</v>
      </c>
      <c r="B138" s="22">
        <f t="shared" si="1"/>
        <v>12</v>
      </c>
      <c r="C138" s="23">
        <f>C137*(1+'Parâmetros'!$B$16)</f>
        <v>1510.987193</v>
      </c>
      <c r="D138" s="29">
        <f t="shared" si="6"/>
        <v>1510.987193</v>
      </c>
      <c r="E138" s="23">
        <f t="shared" si="5"/>
        <v>201235.4591</v>
      </c>
      <c r="F138" s="23">
        <f>E138*'Parâmetros'!$B$13</f>
        <v>1604.67981</v>
      </c>
      <c r="G138" s="23">
        <f t="shared" si="2"/>
        <v>204351.1261</v>
      </c>
      <c r="H138" s="23">
        <f>G138/(1+'Parâmetros'!$B$14)^A138</f>
        <v>117075.4595</v>
      </c>
      <c r="I138" s="25">
        <f>H138/'Parâmetros'!$B$7</f>
        <v>0.1170754595</v>
      </c>
      <c r="J138" s="23">
        <f t="shared" si="3"/>
        <v>125316.2107</v>
      </c>
      <c r="K138" s="23">
        <f t="shared" si="4"/>
        <v>79034.91548</v>
      </c>
      <c r="L138" s="29"/>
      <c r="M138" s="23"/>
    </row>
    <row r="139" ht="15.75" customHeight="1">
      <c r="A139" s="22">
        <v>138.0</v>
      </c>
      <c r="B139" s="22">
        <f t="shared" si="1"/>
        <v>12</v>
      </c>
      <c r="C139" s="23">
        <f>C138*(1+'Parâmetros'!$B$16)</f>
        <v>1523.324171</v>
      </c>
      <c r="D139" s="29">
        <f t="shared" si="6"/>
        <v>1523.324171</v>
      </c>
      <c r="E139" s="23">
        <f t="shared" si="5"/>
        <v>204351.1261</v>
      </c>
      <c r="F139" s="23">
        <f>E139*'Parâmetros'!$B$13</f>
        <v>1629.524577</v>
      </c>
      <c r="G139" s="23">
        <f t="shared" si="2"/>
        <v>207503.9749</v>
      </c>
      <c r="H139" s="23">
        <f>G139/(1+'Parâmetros'!$B$14)^A139</f>
        <v>118399.3944</v>
      </c>
      <c r="I139" s="25">
        <f>H139/'Parâmetros'!$B$7</f>
        <v>0.1183993944</v>
      </c>
      <c r="J139" s="23">
        <f t="shared" si="3"/>
        <v>126839.5348</v>
      </c>
      <c r="K139" s="23">
        <f t="shared" si="4"/>
        <v>80664.44006</v>
      </c>
      <c r="L139" s="29"/>
      <c r="M139" s="23"/>
    </row>
    <row r="140" ht="15.75" customHeight="1">
      <c r="A140" s="22">
        <v>139.0</v>
      </c>
      <c r="B140" s="22">
        <f t="shared" si="1"/>
        <v>12</v>
      </c>
      <c r="C140" s="23">
        <f>C139*(1+'Parâmetros'!$B$16)</f>
        <v>1535.761878</v>
      </c>
      <c r="D140" s="29">
        <f t="shared" si="6"/>
        <v>1535.761878</v>
      </c>
      <c r="E140" s="23">
        <f t="shared" si="5"/>
        <v>207503.9749</v>
      </c>
      <c r="F140" s="23">
        <f>E140*'Parâmetros'!$B$13</f>
        <v>1654.665835</v>
      </c>
      <c r="G140" s="23">
        <f t="shared" si="2"/>
        <v>210694.4026</v>
      </c>
      <c r="H140" s="23">
        <f>G140/(1+'Parâmetros'!$B$14)^A140</f>
        <v>119732.0129</v>
      </c>
      <c r="I140" s="25">
        <f>H140/'Parâmetros'!$B$7</f>
        <v>0.1197320129</v>
      </c>
      <c r="J140" s="23">
        <f t="shared" si="3"/>
        <v>128375.2967</v>
      </c>
      <c r="K140" s="23">
        <f t="shared" si="4"/>
        <v>82319.10589</v>
      </c>
      <c r="L140" s="29"/>
      <c r="M140" s="23"/>
    </row>
    <row r="141" ht="15.75" customHeight="1">
      <c r="A141" s="22">
        <v>140.0</v>
      </c>
      <c r="B141" s="22">
        <f t="shared" si="1"/>
        <v>12</v>
      </c>
      <c r="C141" s="23">
        <f>C140*(1+'Parâmetros'!$B$16)</f>
        <v>1548.301137</v>
      </c>
      <c r="D141" s="29">
        <f t="shared" si="6"/>
        <v>1548.301137</v>
      </c>
      <c r="E141" s="23">
        <f t="shared" si="5"/>
        <v>210694.4026</v>
      </c>
      <c r="F141" s="23">
        <f>E141*'Parâmetros'!$B$13</f>
        <v>1680.106754</v>
      </c>
      <c r="G141" s="23">
        <f t="shared" si="2"/>
        <v>213922.8105</v>
      </c>
      <c r="H141" s="23">
        <f>G141/(1+'Parâmetros'!$B$14)^A141</f>
        <v>121073.3632</v>
      </c>
      <c r="I141" s="25">
        <f>H141/'Parâmetros'!$B$7</f>
        <v>0.1210733632</v>
      </c>
      <c r="J141" s="23">
        <f t="shared" si="3"/>
        <v>129923.5978</v>
      </c>
      <c r="K141" s="23">
        <f t="shared" si="4"/>
        <v>83999.21264</v>
      </c>
      <c r="L141" s="29"/>
      <c r="M141" s="23"/>
    </row>
    <row r="142" ht="15.75" customHeight="1">
      <c r="A142" s="22">
        <v>141.0</v>
      </c>
      <c r="B142" s="22">
        <f t="shared" si="1"/>
        <v>12</v>
      </c>
      <c r="C142" s="23">
        <f>C141*(1+'Parâmetros'!$B$16)</f>
        <v>1560.942778</v>
      </c>
      <c r="D142" s="29">
        <f t="shared" si="6"/>
        <v>1560.942778</v>
      </c>
      <c r="E142" s="23">
        <f t="shared" si="5"/>
        <v>213922.8105</v>
      </c>
      <c r="F142" s="23">
        <f>E142*'Parâmetros'!$B$13</f>
        <v>1705.850532</v>
      </c>
      <c r="G142" s="23">
        <f t="shared" si="2"/>
        <v>217189.6038</v>
      </c>
      <c r="H142" s="23">
        <f>G142/(1+'Parâmetros'!$B$14)^A142</f>
        <v>122423.4937</v>
      </c>
      <c r="I142" s="25">
        <f>H142/'Parâmetros'!$B$7</f>
        <v>0.1224234937</v>
      </c>
      <c r="J142" s="23">
        <f t="shared" si="3"/>
        <v>131484.5406</v>
      </c>
      <c r="K142" s="23">
        <f t="shared" si="4"/>
        <v>85705.06318</v>
      </c>
      <c r="L142" s="29"/>
      <c r="M142" s="23"/>
    </row>
    <row r="143" ht="15.75" customHeight="1">
      <c r="A143" s="22">
        <v>142.0</v>
      </c>
      <c r="B143" s="22">
        <f t="shared" si="1"/>
        <v>12</v>
      </c>
      <c r="C143" s="23">
        <f>C142*(1+'Parâmetros'!$B$16)</f>
        <v>1573.687635</v>
      </c>
      <c r="D143" s="29">
        <f t="shared" si="6"/>
        <v>1573.687635</v>
      </c>
      <c r="E143" s="23">
        <f t="shared" si="5"/>
        <v>217189.6038</v>
      </c>
      <c r="F143" s="23">
        <f>E143*'Parâmetros'!$B$13</f>
        <v>1731.9004</v>
      </c>
      <c r="G143" s="23">
        <f t="shared" si="2"/>
        <v>220495.1918</v>
      </c>
      <c r="H143" s="23">
        <f>G143/(1+'Parâmetros'!$B$14)^A143</f>
        <v>123782.4529</v>
      </c>
      <c r="I143" s="25">
        <f>H143/'Parâmetros'!$B$7</f>
        <v>0.1237824529</v>
      </c>
      <c r="J143" s="23">
        <f t="shared" si="3"/>
        <v>133058.2283</v>
      </c>
      <c r="K143" s="23">
        <f t="shared" si="4"/>
        <v>87436.96358</v>
      </c>
      <c r="L143" s="29"/>
      <c r="M143" s="23"/>
    </row>
    <row r="144" ht="15.75" customHeight="1">
      <c r="A144" s="22">
        <v>143.0</v>
      </c>
      <c r="B144" s="22">
        <f t="shared" si="1"/>
        <v>12</v>
      </c>
      <c r="C144" s="23">
        <f>C143*(1+'Parâmetros'!$B$16)</f>
        <v>1586.536552</v>
      </c>
      <c r="D144" s="29">
        <f t="shared" si="6"/>
        <v>1586.536552</v>
      </c>
      <c r="E144" s="23">
        <f t="shared" si="5"/>
        <v>220495.1918</v>
      </c>
      <c r="F144" s="23">
        <f>E144*'Parâmetros'!$B$13</f>
        <v>1758.259624</v>
      </c>
      <c r="G144" s="23">
        <f t="shared" si="2"/>
        <v>223839.988</v>
      </c>
      <c r="H144" s="23">
        <f>G144/(1+'Parâmetros'!$B$14)^A144</f>
        <v>125150.2899</v>
      </c>
      <c r="I144" s="25">
        <f>H144/'Parâmetros'!$B$7</f>
        <v>0.1251502899</v>
      </c>
      <c r="J144" s="23">
        <f t="shared" si="3"/>
        <v>134644.7648</v>
      </c>
      <c r="K144" s="23">
        <f t="shared" si="4"/>
        <v>89195.2232</v>
      </c>
      <c r="L144" s="29"/>
      <c r="M144" s="23"/>
    </row>
    <row r="145" ht="15.75" customHeight="1">
      <c r="A145" s="22">
        <v>144.0</v>
      </c>
      <c r="B145" s="22">
        <f t="shared" si="1"/>
        <v>12</v>
      </c>
      <c r="C145" s="23">
        <f>C144*(1+'Parâmetros'!$B$16)</f>
        <v>1599.490379</v>
      </c>
      <c r="D145" s="29">
        <f t="shared" si="6"/>
        <v>1599.490379</v>
      </c>
      <c r="E145" s="23">
        <f t="shared" si="5"/>
        <v>223839.988</v>
      </c>
      <c r="F145" s="23">
        <f>E145*'Parâmetros'!$B$13</f>
        <v>1784.931498</v>
      </c>
      <c r="G145" s="23">
        <f t="shared" si="2"/>
        <v>227224.4099</v>
      </c>
      <c r="H145" s="23">
        <f>G145/(1+'Parâmetros'!$B$14)^A145</f>
        <v>126527.0537</v>
      </c>
      <c r="I145" s="25">
        <f>H145/'Parâmetros'!$B$7</f>
        <v>0.1265270537</v>
      </c>
      <c r="J145" s="23">
        <f t="shared" si="3"/>
        <v>136244.2552</v>
      </c>
      <c r="K145" s="23">
        <f t="shared" si="4"/>
        <v>90980.1547</v>
      </c>
      <c r="L145" s="29"/>
      <c r="M145" s="23"/>
    </row>
    <row r="146" ht="15.75" customHeight="1">
      <c r="A146" s="22">
        <v>145.0</v>
      </c>
      <c r="B146" s="22">
        <f t="shared" si="1"/>
        <v>13</v>
      </c>
      <c r="C146" s="23">
        <f>C145*(1+'Parâmetros'!$B$16)</f>
        <v>1612.549972</v>
      </c>
      <c r="D146" s="29">
        <f t="shared" si="6"/>
        <v>1612.549972</v>
      </c>
      <c r="E146" s="23">
        <f t="shared" si="5"/>
        <v>227224.4099</v>
      </c>
      <c r="F146" s="23">
        <f>E146*'Parâmetros'!$B$13</f>
        <v>1811.919353</v>
      </c>
      <c r="G146" s="23">
        <f t="shared" si="2"/>
        <v>230648.8792</v>
      </c>
      <c r="H146" s="23">
        <f>G146/(1+'Parâmetros'!$B$14)^A146</f>
        <v>127912.7939</v>
      </c>
      <c r="I146" s="25">
        <f>H146/'Parâmetros'!$B$7</f>
        <v>0.1279127939</v>
      </c>
      <c r="J146" s="23">
        <f t="shared" si="3"/>
        <v>137856.8052</v>
      </c>
      <c r="K146" s="23">
        <f t="shared" si="4"/>
        <v>92792.07405</v>
      </c>
      <c r="L146" s="29"/>
      <c r="M146" s="23"/>
    </row>
    <row r="147" ht="15.75" customHeight="1">
      <c r="A147" s="22">
        <v>146.0</v>
      </c>
      <c r="B147" s="22">
        <f t="shared" si="1"/>
        <v>13</v>
      </c>
      <c r="C147" s="23">
        <f>C146*(1+'Parâmetros'!$B$16)</f>
        <v>1625.716194</v>
      </c>
      <c r="D147" s="29">
        <f t="shared" si="6"/>
        <v>1625.716194</v>
      </c>
      <c r="E147" s="23">
        <f t="shared" si="5"/>
        <v>230648.8792</v>
      </c>
      <c r="F147" s="23">
        <f>E147*'Parâmetros'!$B$13</f>
        <v>1839.226553</v>
      </c>
      <c r="G147" s="23">
        <f t="shared" si="2"/>
        <v>234113.822</v>
      </c>
      <c r="H147" s="23">
        <f>G147/(1+'Parâmetros'!$B$14)^A147</f>
        <v>129307.5599</v>
      </c>
      <c r="I147" s="25">
        <f>H147/'Parâmetros'!$B$7</f>
        <v>0.1293075599</v>
      </c>
      <c r="J147" s="23">
        <f t="shared" si="3"/>
        <v>139482.5214</v>
      </c>
      <c r="K147" s="23">
        <f t="shared" si="4"/>
        <v>94631.3006</v>
      </c>
      <c r="L147" s="29"/>
      <c r="M147" s="23"/>
    </row>
    <row r="148" ht="15.75" customHeight="1">
      <c r="A148" s="22">
        <v>147.0</v>
      </c>
      <c r="B148" s="22">
        <f t="shared" si="1"/>
        <v>13</v>
      </c>
      <c r="C148" s="23">
        <f>C147*(1+'Parâmetros'!$B$16)</f>
        <v>1638.989917</v>
      </c>
      <c r="D148" s="29">
        <f t="shared" si="6"/>
        <v>1638.989917</v>
      </c>
      <c r="E148" s="23">
        <f t="shared" si="5"/>
        <v>234113.822</v>
      </c>
      <c r="F148" s="23">
        <f>E148*'Parâmetros'!$B$13</f>
        <v>1866.856493</v>
      </c>
      <c r="G148" s="23">
        <f t="shared" si="2"/>
        <v>237619.6684</v>
      </c>
      <c r="H148" s="23">
        <f>G148/(1+'Parâmetros'!$B$14)^A148</f>
        <v>130711.4017</v>
      </c>
      <c r="I148" s="25">
        <f>H148/'Parâmetros'!$B$7</f>
        <v>0.1307114017</v>
      </c>
      <c r="J148" s="23">
        <f t="shared" si="3"/>
        <v>141121.5113</v>
      </c>
      <c r="K148" s="23">
        <f t="shared" si="4"/>
        <v>96498.1571</v>
      </c>
      <c r="L148" s="29"/>
      <c r="M148" s="23"/>
    </row>
    <row r="149" ht="15.75" customHeight="1">
      <c r="A149" s="22">
        <v>148.0</v>
      </c>
      <c r="B149" s="22">
        <f t="shared" si="1"/>
        <v>13</v>
      </c>
      <c r="C149" s="23">
        <f>C148*(1+'Parâmetros'!$B$16)</f>
        <v>1652.372017</v>
      </c>
      <c r="D149" s="29">
        <f t="shared" si="6"/>
        <v>1652.372017</v>
      </c>
      <c r="E149" s="23">
        <f t="shared" si="5"/>
        <v>237619.6684</v>
      </c>
      <c r="F149" s="23">
        <f>E149*'Parâmetros'!$B$13</f>
        <v>1894.812604</v>
      </c>
      <c r="G149" s="23">
        <f t="shared" si="2"/>
        <v>241166.853</v>
      </c>
      <c r="H149" s="23">
        <f>G149/(1+'Parâmetros'!$B$14)^A149</f>
        <v>132124.3695</v>
      </c>
      <c r="I149" s="25">
        <f>H149/'Parâmetros'!$B$7</f>
        <v>0.1321243695</v>
      </c>
      <c r="J149" s="23">
        <f t="shared" si="3"/>
        <v>142773.8833</v>
      </c>
      <c r="K149" s="23">
        <f t="shared" si="4"/>
        <v>98392.9697</v>
      </c>
      <c r="L149" s="29"/>
      <c r="M149" s="23"/>
    </row>
    <row r="150" ht="15.75" customHeight="1">
      <c r="A150" s="22">
        <v>149.0</v>
      </c>
      <c r="B150" s="22">
        <f t="shared" si="1"/>
        <v>13</v>
      </c>
      <c r="C150" s="23">
        <f>C149*(1+'Parâmetros'!$B$16)</f>
        <v>1665.86338</v>
      </c>
      <c r="D150" s="29">
        <f t="shared" si="6"/>
        <v>1665.86338</v>
      </c>
      <c r="E150" s="23">
        <f t="shared" si="5"/>
        <v>241166.853</v>
      </c>
      <c r="F150" s="23">
        <f>E150*'Parâmetros'!$B$13</f>
        <v>1923.098353</v>
      </c>
      <c r="G150" s="23">
        <f t="shared" si="2"/>
        <v>244755.8147</v>
      </c>
      <c r="H150" s="23">
        <f>G150/(1+'Parâmetros'!$B$14)^A150</f>
        <v>133546.5136</v>
      </c>
      <c r="I150" s="25">
        <f>H150/'Parâmetros'!$B$7</f>
        <v>0.1335465136</v>
      </c>
      <c r="J150" s="23">
        <f t="shared" si="3"/>
        <v>144439.7467</v>
      </c>
      <c r="K150" s="23">
        <f t="shared" si="4"/>
        <v>100316.0681</v>
      </c>
      <c r="L150" s="29"/>
      <c r="M150" s="23"/>
    </row>
    <row r="151" ht="15.75" customHeight="1">
      <c r="A151" s="22">
        <v>150.0</v>
      </c>
      <c r="B151" s="22">
        <f t="shared" si="1"/>
        <v>13</v>
      </c>
      <c r="C151" s="23">
        <f>C150*(1+'Parâmetros'!$B$16)</f>
        <v>1679.464898</v>
      </c>
      <c r="D151" s="29">
        <f t="shared" si="6"/>
        <v>1679.464898</v>
      </c>
      <c r="E151" s="23">
        <f t="shared" si="5"/>
        <v>244755.8147</v>
      </c>
      <c r="F151" s="23">
        <f>E151*'Parâmetros'!$B$13</f>
        <v>1951.717237</v>
      </c>
      <c r="G151" s="23">
        <f t="shared" si="2"/>
        <v>248386.9969</v>
      </c>
      <c r="H151" s="23">
        <f>G151/(1+'Parâmetros'!$B$14)^A151</f>
        <v>134977.8848</v>
      </c>
      <c r="I151" s="25">
        <f>H151/'Parâmetros'!$B$7</f>
        <v>0.1349778848</v>
      </c>
      <c r="J151" s="23">
        <f t="shared" si="3"/>
        <v>146119.2116</v>
      </c>
      <c r="K151" s="23">
        <f t="shared" si="4"/>
        <v>102267.7853</v>
      </c>
      <c r="L151" s="29"/>
      <c r="M151" s="23"/>
    </row>
    <row r="152" ht="15.75" customHeight="1">
      <c r="A152" s="22">
        <v>151.0</v>
      </c>
      <c r="B152" s="22">
        <f t="shared" si="1"/>
        <v>13</v>
      </c>
      <c r="C152" s="23">
        <f>C151*(1+'Parâmetros'!$B$16)</f>
        <v>1693.17747</v>
      </c>
      <c r="D152" s="29">
        <f t="shared" si="6"/>
        <v>1693.17747</v>
      </c>
      <c r="E152" s="23">
        <f t="shared" si="5"/>
        <v>248386.9969</v>
      </c>
      <c r="F152" s="23">
        <f>E152*'Parâmetros'!$B$13</f>
        <v>1980.672794</v>
      </c>
      <c r="G152" s="23">
        <f t="shared" si="2"/>
        <v>252060.8471</v>
      </c>
      <c r="H152" s="23">
        <f>G152/(1+'Parâmetros'!$B$14)^A152</f>
        <v>136418.534</v>
      </c>
      <c r="I152" s="25">
        <f>H152/'Parâmetros'!$B$7</f>
        <v>0.136418534</v>
      </c>
      <c r="J152" s="23">
        <f t="shared" si="3"/>
        <v>147812.389</v>
      </c>
      <c r="K152" s="23">
        <f t="shared" si="4"/>
        <v>104248.4581</v>
      </c>
      <c r="L152" s="29"/>
      <c r="M152" s="23"/>
    </row>
    <row r="153" ht="15.75" customHeight="1">
      <c r="A153" s="22">
        <v>152.0</v>
      </c>
      <c r="B153" s="22">
        <f t="shared" si="1"/>
        <v>13</v>
      </c>
      <c r="C153" s="23">
        <f>C152*(1+'Parâmetros'!$B$16)</f>
        <v>1707.002004</v>
      </c>
      <c r="D153" s="29">
        <f t="shared" si="6"/>
        <v>1707.002004</v>
      </c>
      <c r="E153" s="23">
        <f t="shared" si="5"/>
        <v>252060.8471</v>
      </c>
      <c r="F153" s="23">
        <f>E153*'Parâmetros'!$B$13</f>
        <v>2009.968592</v>
      </c>
      <c r="G153" s="23">
        <f t="shared" si="2"/>
        <v>255777.8177</v>
      </c>
      <c r="H153" s="23">
        <f>G153/(1+'Parâmetros'!$B$14)^A153</f>
        <v>137868.5124</v>
      </c>
      <c r="I153" s="25">
        <f>H153/'Parâmetros'!$B$7</f>
        <v>0.1378685124</v>
      </c>
      <c r="J153" s="23">
        <f t="shared" si="3"/>
        <v>149519.391</v>
      </c>
      <c r="K153" s="23">
        <f t="shared" si="4"/>
        <v>106258.4267</v>
      </c>
      <c r="L153" s="29"/>
      <c r="M153" s="23"/>
    </row>
    <row r="154" ht="15.75" customHeight="1">
      <c r="A154" s="22">
        <v>153.0</v>
      </c>
      <c r="B154" s="22">
        <f t="shared" si="1"/>
        <v>13</v>
      </c>
      <c r="C154" s="23">
        <f>C153*(1+'Parâmetros'!$B$16)</f>
        <v>1720.939412</v>
      </c>
      <c r="D154" s="29">
        <f t="shared" si="6"/>
        <v>1720.939412</v>
      </c>
      <c r="E154" s="23">
        <f t="shared" si="5"/>
        <v>255777.8177</v>
      </c>
      <c r="F154" s="23">
        <f>E154*'Parâmetros'!$B$13</f>
        <v>2039.608237</v>
      </c>
      <c r="G154" s="23">
        <f t="shared" si="2"/>
        <v>259538.3654</v>
      </c>
      <c r="H154" s="23">
        <f>G154/(1+'Parâmetros'!$B$14)^A154</f>
        <v>139327.8713</v>
      </c>
      <c r="I154" s="25">
        <f>H154/'Parâmetros'!$B$7</f>
        <v>0.1393278713</v>
      </c>
      <c r="J154" s="23">
        <f t="shared" si="3"/>
        <v>151240.3305</v>
      </c>
      <c r="K154" s="23">
        <f t="shared" si="4"/>
        <v>108298.0349</v>
      </c>
      <c r="L154" s="29"/>
      <c r="M154" s="23"/>
    </row>
    <row r="155" ht="15.75" customHeight="1">
      <c r="A155" s="22">
        <v>154.0</v>
      </c>
      <c r="B155" s="22">
        <f t="shared" si="1"/>
        <v>13</v>
      </c>
      <c r="C155" s="23">
        <f>C154*(1+'Parâmetros'!$B$16)</f>
        <v>1734.990618</v>
      </c>
      <c r="D155" s="29">
        <f t="shared" si="6"/>
        <v>1734.990618</v>
      </c>
      <c r="E155" s="23">
        <f t="shared" si="5"/>
        <v>259538.3654</v>
      </c>
      <c r="F155" s="23">
        <f>E155*'Parâmetros'!$B$13</f>
        <v>2069.595372</v>
      </c>
      <c r="G155" s="23">
        <f t="shared" si="2"/>
        <v>263342.9514</v>
      </c>
      <c r="H155" s="23">
        <f>G155/(1+'Parâmetros'!$B$14)^A155</f>
        <v>140796.6626</v>
      </c>
      <c r="I155" s="25">
        <f>H155/'Parâmetros'!$B$7</f>
        <v>0.1407966626</v>
      </c>
      <c r="J155" s="23">
        <f t="shared" si="3"/>
        <v>152975.3211</v>
      </c>
      <c r="K155" s="23">
        <f t="shared" si="4"/>
        <v>110367.6303</v>
      </c>
      <c r="L155" s="29"/>
      <c r="M155" s="23"/>
    </row>
    <row r="156" ht="15.75" customHeight="1">
      <c r="A156" s="22">
        <v>155.0</v>
      </c>
      <c r="B156" s="22">
        <f t="shared" si="1"/>
        <v>13</v>
      </c>
      <c r="C156" s="23">
        <f>C155*(1+'Parâmetros'!$B$16)</f>
        <v>1749.156549</v>
      </c>
      <c r="D156" s="29">
        <f t="shared" si="6"/>
        <v>1749.156549</v>
      </c>
      <c r="E156" s="23">
        <f t="shared" si="5"/>
        <v>263342.9514</v>
      </c>
      <c r="F156" s="23">
        <f>E156*'Parâmetros'!$B$13</f>
        <v>2099.933675</v>
      </c>
      <c r="G156" s="23">
        <f t="shared" si="2"/>
        <v>267192.0416</v>
      </c>
      <c r="H156" s="23">
        <f>G156/(1+'Parâmetros'!$B$14)^A156</f>
        <v>142274.9381</v>
      </c>
      <c r="I156" s="25">
        <f>H156/'Parâmetros'!$B$7</f>
        <v>0.1422749381</v>
      </c>
      <c r="J156" s="23">
        <f t="shared" si="3"/>
        <v>154724.4776</v>
      </c>
      <c r="K156" s="23">
        <f t="shared" si="4"/>
        <v>112467.564</v>
      </c>
      <c r="L156" s="29"/>
      <c r="M156" s="23"/>
    </row>
    <row r="157" ht="15.75" customHeight="1">
      <c r="A157" s="22">
        <v>156.0</v>
      </c>
      <c r="B157" s="22">
        <f t="shared" si="1"/>
        <v>13</v>
      </c>
      <c r="C157" s="23">
        <f>C156*(1+'Parâmetros'!$B$16)</f>
        <v>1763.438143</v>
      </c>
      <c r="D157" s="29">
        <f t="shared" si="6"/>
        <v>1763.438143</v>
      </c>
      <c r="E157" s="23">
        <f t="shared" si="5"/>
        <v>267192.0416</v>
      </c>
      <c r="F157" s="23">
        <f>E157*'Parâmetros'!$B$13</f>
        <v>2130.626861</v>
      </c>
      <c r="G157" s="23">
        <f t="shared" si="2"/>
        <v>271086.1066</v>
      </c>
      <c r="H157" s="23">
        <f>G157/(1+'Parâmetros'!$B$14)^A157</f>
        <v>143762.7502</v>
      </c>
      <c r="I157" s="25">
        <f>H157/'Parâmetros'!$B$7</f>
        <v>0.1437627502</v>
      </c>
      <c r="J157" s="23">
        <f t="shared" si="3"/>
        <v>156487.9158</v>
      </c>
      <c r="K157" s="23">
        <f t="shared" si="4"/>
        <v>114598.1908</v>
      </c>
      <c r="L157" s="29"/>
      <c r="M157" s="23"/>
    </row>
    <row r="158" ht="15.75" customHeight="1">
      <c r="A158" s="22">
        <v>157.0</v>
      </c>
      <c r="B158" s="22">
        <f t="shared" si="1"/>
        <v>14</v>
      </c>
      <c r="C158" s="23">
        <f>C157*(1+'Parâmetros'!$B$16)</f>
        <v>1777.836344</v>
      </c>
      <c r="D158" s="29">
        <f t="shared" si="6"/>
        <v>1777.836344</v>
      </c>
      <c r="E158" s="23">
        <f t="shared" si="5"/>
        <v>271086.1066</v>
      </c>
      <c r="F158" s="23">
        <f>E158*'Parâmetros'!$B$13</f>
        <v>2161.678682</v>
      </c>
      <c r="G158" s="23">
        <f t="shared" si="2"/>
        <v>275025.6216</v>
      </c>
      <c r="H158" s="23">
        <f>G158/(1+'Parâmetros'!$B$14)^A158</f>
        <v>145260.1513</v>
      </c>
      <c r="I158" s="25">
        <f>H158/'Parâmetros'!$B$7</f>
        <v>0.1452601513</v>
      </c>
      <c r="J158" s="23">
        <f t="shared" si="3"/>
        <v>158265.7521</v>
      </c>
      <c r="K158" s="23">
        <f t="shared" si="4"/>
        <v>116759.8695</v>
      </c>
      <c r="L158" s="29"/>
      <c r="M158" s="23"/>
    </row>
    <row r="159" ht="15.75" customHeight="1">
      <c r="A159" s="22">
        <v>158.0</v>
      </c>
      <c r="B159" s="22">
        <f t="shared" si="1"/>
        <v>14</v>
      </c>
      <c r="C159" s="23">
        <f>C158*(1+'Parâmetros'!$B$16)</f>
        <v>1792.352104</v>
      </c>
      <c r="D159" s="29">
        <f t="shared" si="6"/>
        <v>1792.352104</v>
      </c>
      <c r="E159" s="23">
        <f t="shared" si="5"/>
        <v>275025.6216</v>
      </c>
      <c r="F159" s="23">
        <f>E159*'Parâmetros'!$B$13</f>
        <v>2193.092928</v>
      </c>
      <c r="G159" s="23">
        <f t="shared" si="2"/>
        <v>279011.0666</v>
      </c>
      <c r="H159" s="23">
        <f>G159/(1+'Parâmetros'!$B$14)^A159</f>
        <v>146767.1942</v>
      </c>
      <c r="I159" s="25">
        <f>H159/'Parâmetros'!$B$7</f>
        <v>0.1467671942</v>
      </c>
      <c r="J159" s="23">
        <f t="shared" si="3"/>
        <v>160058.1042</v>
      </c>
      <c r="K159" s="23">
        <f t="shared" si="4"/>
        <v>118952.9624</v>
      </c>
      <c r="L159" s="29"/>
      <c r="M159" s="23"/>
    </row>
    <row r="160" ht="15.75" customHeight="1">
      <c r="A160" s="22">
        <v>159.0</v>
      </c>
      <c r="B160" s="22">
        <f t="shared" si="1"/>
        <v>14</v>
      </c>
      <c r="C160" s="23">
        <f>C159*(1+'Parâmetros'!$B$16)</f>
        <v>1806.986383</v>
      </c>
      <c r="D160" s="29">
        <f t="shared" si="6"/>
        <v>1806.986383</v>
      </c>
      <c r="E160" s="23">
        <f t="shared" si="5"/>
        <v>279011.0666</v>
      </c>
      <c r="F160" s="23">
        <f>E160*'Parâmetros'!$B$13</f>
        <v>2224.873427</v>
      </c>
      <c r="G160" s="23">
        <f t="shared" si="2"/>
        <v>283042.9265</v>
      </c>
      <c r="H160" s="23">
        <f>G160/(1+'Parâmetros'!$B$14)^A160</f>
        <v>148283.9319</v>
      </c>
      <c r="I160" s="25">
        <f>H160/'Parâmetros'!$B$7</f>
        <v>0.1482839319</v>
      </c>
      <c r="J160" s="23">
        <f t="shared" si="3"/>
        <v>161865.0906</v>
      </c>
      <c r="K160" s="23">
        <f t="shared" si="4"/>
        <v>121177.8359</v>
      </c>
      <c r="L160" s="29"/>
      <c r="M160" s="23"/>
    </row>
    <row r="161" ht="15.75" customHeight="1">
      <c r="A161" s="22">
        <v>160.0</v>
      </c>
      <c r="B161" s="22">
        <f t="shared" si="1"/>
        <v>14</v>
      </c>
      <c r="C161" s="23">
        <f>C160*(1+'Parâmetros'!$B$16)</f>
        <v>1821.740149</v>
      </c>
      <c r="D161" s="29">
        <f t="shared" si="6"/>
        <v>1821.740149</v>
      </c>
      <c r="E161" s="23">
        <f t="shared" si="5"/>
        <v>283042.9265</v>
      </c>
      <c r="F161" s="23">
        <f>E161*'Parâmetros'!$B$13</f>
        <v>2257.024043</v>
      </c>
      <c r="G161" s="23">
        <f t="shared" si="2"/>
        <v>287121.6906</v>
      </c>
      <c r="H161" s="23">
        <f>G161/(1+'Parâmetros'!$B$14)^A161</f>
        <v>149810.4177</v>
      </c>
      <c r="I161" s="25">
        <f>H161/'Parâmetros'!$B$7</f>
        <v>0.1498104177</v>
      </c>
      <c r="J161" s="23">
        <f t="shared" si="3"/>
        <v>163686.8307</v>
      </c>
      <c r="K161" s="23">
        <f t="shared" si="4"/>
        <v>123434.8599</v>
      </c>
      <c r="L161" s="29"/>
      <c r="M161" s="23"/>
    </row>
    <row r="162" ht="15.75" customHeight="1">
      <c r="A162" s="22">
        <v>161.0</v>
      </c>
      <c r="B162" s="22">
        <f t="shared" si="1"/>
        <v>14</v>
      </c>
      <c r="C162" s="23">
        <f>C161*(1+'Parâmetros'!$B$16)</f>
        <v>1836.614377</v>
      </c>
      <c r="D162" s="29">
        <f t="shared" si="6"/>
        <v>1836.614377</v>
      </c>
      <c r="E162" s="23">
        <f t="shared" si="5"/>
        <v>287121.6906</v>
      </c>
      <c r="F162" s="23">
        <f>E162*'Parâmetros'!$B$13</f>
        <v>2289.548681</v>
      </c>
      <c r="G162" s="23">
        <f t="shared" si="2"/>
        <v>291247.8537</v>
      </c>
      <c r="H162" s="23">
        <f>G162/(1+'Parâmetros'!$B$14)^A162</f>
        <v>151346.7053</v>
      </c>
      <c r="I162" s="25">
        <f>H162/'Parâmetros'!$B$7</f>
        <v>0.1513467053</v>
      </c>
      <c r="J162" s="23">
        <f t="shared" si="3"/>
        <v>165523.4451</v>
      </c>
      <c r="K162" s="23">
        <f t="shared" si="4"/>
        <v>125724.4086</v>
      </c>
      <c r="L162" s="29"/>
      <c r="M162" s="23"/>
    </row>
    <row r="163" ht="15.75" customHeight="1">
      <c r="A163" s="22">
        <v>162.0</v>
      </c>
      <c r="B163" s="22">
        <f t="shared" si="1"/>
        <v>14</v>
      </c>
      <c r="C163" s="23">
        <f>C162*(1+'Parâmetros'!$B$16)</f>
        <v>1851.61005</v>
      </c>
      <c r="D163" s="29">
        <f t="shared" si="6"/>
        <v>1851.61005</v>
      </c>
      <c r="E163" s="23">
        <f t="shared" si="5"/>
        <v>291247.8537</v>
      </c>
      <c r="F163" s="23">
        <f>E163*'Parâmetros'!$B$13</f>
        <v>2322.451285</v>
      </c>
      <c r="G163" s="23">
        <f t="shared" si="2"/>
        <v>295421.915</v>
      </c>
      <c r="H163" s="23">
        <f>G163/(1+'Parâmetros'!$B$14)^A163</f>
        <v>152892.8484</v>
      </c>
      <c r="I163" s="25">
        <f>H163/'Parâmetros'!$B$7</f>
        <v>0.1528928484</v>
      </c>
      <c r="J163" s="23">
        <f t="shared" si="3"/>
        <v>167375.0552</v>
      </c>
      <c r="K163" s="23">
        <f t="shared" si="4"/>
        <v>128046.8599</v>
      </c>
      <c r="L163" s="29"/>
      <c r="M163" s="23"/>
    </row>
    <row r="164" ht="15.75" customHeight="1">
      <c r="A164" s="22">
        <v>163.0</v>
      </c>
      <c r="B164" s="22">
        <f t="shared" si="1"/>
        <v>14</v>
      </c>
      <c r="C164" s="23">
        <f>C163*(1+'Parâmetros'!$B$16)</f>
        <v>1866.728161</v>
      </c>
      <c r="D164" s="29">
        <f t="shared" si="6"/>
        <v>1866.728161</v>
      </c>
      <c r="E164" s="23">
        <f t="shared" si="5"/>
        <v>295421.915</v>
      </c>
      <c r="F164" s="23">
        <f>E164*'Parâmetros'!$B$13</f>
        <v>2355.735836</v>
      </c>
      <c r="G164" s="23">
        <f t="shared" si="2"/>
        <v>299644.379</v>
      </c>
      <c r="H164" s="23">
        <f>G164/(1+'Parâmetros'!$B$14)^A164</f>
        <v>154448.9012</v>
      </c>
      <c r="I164" s="25">
        <f>H164/'Parâmetros'!$B$7</f>
        <v>0.1544489012</v>
      </c>
      <c r="J164" s="23">
        <f t="shared" si="3"/>
        <v>169241.7833</v>
      </c>
      <c r="K164" s="23">
        <f t="shared" si="4"/>
        <v>130402.5957</v>
      </c>
      <c r="L164" s="29"/>
      <c r="M164" s="23"/>
    </row>
    <row r="165" ht="15.75" customHeight="1">
      <c r="A165" s="22">
        <v>164.0</v>
      </c>
      <c r="B165" s="22">
        <f t="shared" si="1"/>
        <v>14</v>
      </c>
      <c r="C165" s="23">
        <f>C164*(1+'Parâmetros'!$B$16)</f>
        <v>1881.969709</v>
      </c>
      <c r="D165" s="29">
        <f t="shared" si="6"/>
        <v>1881.969709</v>
      </c>
      <c r="E165" s="23">
        <f t="shared" si="5"/>
        <v>299644.379</v>
      </c>
      <c r="F165" s="23">
        <f>E165*'Parâmetros'!$B$13</f>
        <v>2389.406357</v>
      </c>
      <c r="G165" s="23">
        <f t="shared" si="2"/>
        <v>303915.7551</v>
      </c>
      <c r="H165" s="23">
        <f>G165/(1+'Parâmetros'!$B$14)^A165</f>
        <v>156014.9181</v>
      </c>
      <c r="I165" s="25">
        <f>H165/'Parâmetros'!$B$7</f>
        <v>0.1560149181</v>
      </c>
      <c r="J165" s="23">
        <f t="shared" si="3"/>
        <v>171123.753</v>
      </c>
      <c r="K165" s="23">
        <f t="shared" si="4"/>
        <v>132792.0021</v>
      </c>
      <c r="L165" s="29"/>
      <c r="M165" s="23"/>
    </row>
    <row r="166" ht="15.75" customHeight="1">
      <c r="A166" s="22">
        <v>165.0</v>
      </c>
      <c r="B166" s="22">
        <f t="shared" si="1"/>
        <v>14</v>
      </c>
      <c r="C166" s="23">
        <f>C165*(1+'Parâmetros'!$B$16)</f>
        <v>1897.335702</v>
      </c>
      <c r="D166" s="29">
        <f t="shared" si="6"/>
        <v>1897.335702</v>
      </c>
      <c r="E166" s="23">
        <f t="shared" si="5"/>
        <v>303915.7551</v>
      </c>
      <c r="F166" s="23">
        <f>E166*'Parâmetros'!$B$13</f>
        <v>2423.46691</v>
      </c>
      <c r="G166" s="23">
        <f t="shared" si="2"/>
        <v>308236.5577</v>
      </c>
      <c r="H166" s="23">
        <f>G166/(1+'Parâmetros'!$B$14)^A166</f>
        <v>157590.9537</v>
      </c>
      <c r="I166" s="25">
        <f>H166/'Parâmetros'!$B$7</f>
        <v>0.1575909537</v>
      </c>
      <c r="J166" s="23">
        <f t="shared" si="3"/>
        <v>173021.0887</v>
      </c>
      <c r="K166" s="23">
        <f t="shared" si="4"/>
        <v>135215.469</v>
      </c>
      <c r="L166" s="29"/>
      <c r="M166" s="23"/>
    </row>
    <row r="167" ht="15.75" customHeight="1">
      <c r="A167" s="22">
        <v>166.0</v>
      </c>
      <c r="B167" s="22">
        <f t="shared" si="1"/>
        <v>14</v>
      </c>
      <c r="C167" s="23">
        <f>C166*(1+'Parâmetros'!$B$16)</f>
        <v>1912.827156</v>
      </c>
      <c r="D167" s="29">
        <f t="shared" si="6"/>
        <v>1912.827156</v>
      </c>
      <c r="E167" s="23">
        <f t="shared" si="5"/>
        <v>308236.5577</v>
      </c>
      <c r="F167" s="23">
        <f>E167*'Parâmetros'!$B$13</f>
        <v>2457.921597</v>
      </c>
      <c r="G167" s="23">
        <f t="shared" si="2"/>
        <v>312607.3065</v>
      </c>
      <c r="H167" s="23">
        <f>G167/(1+'Parâmetros'!$B$14)^A167</f>
        <v>159177.063</v>
      </c>
      <c r="I167" s="25">
        <f>H167/'Parâmetros'!$B$7</f>
        <v>0.159177063</v>
      </c>
      <c r="J167" s="23">
        <f t="shared" si="3"/>
        <v>174933.9159</v>
      </c>
      <c r="K167" s="23">
        <f t="shared" si="4"/>
        <v>137673.3906</v>
      </c>
      <c r="L167" s="29"/>
      <c r="M167" s="23"/>
    </row>
    <row r="168" ht="15.75" customHeight="1">
      <c r="A168" s="22">
        <v>167.0</v>
      </c>
      <c r="B168" s="22">
        <f t="shared" si="1"/>
        <v>14</v>
      </c>
      <c r="C168" s="23">
        <f>C167*(1+'Parâmetros'!$B$16)</f>
        <v>1928.445095</v>
      </c>
      <c r="D168" s="29">
        <f t="shared" si="6"/>
        <v>1928.445095</v>
      </c>
      <c r="E168" s="23">
        <f t="shared" si="5"/>
        <v>312607.3065</v>
      </c>
      <c r="F168" s="23">
        <f>E168*'Parâmetros'!$B$13</f>
        <v>2492.774561</v>
      </c>
      <c r="G168" s="23">
        <f t="shared" si="2"/>
        <v>317028.5261</v>
      </c>
      <c r="H168" s="23">
        <f>G168/(1+'Parâmetros'!$B$14)^A168</f>
        <v>160773.3013</v>
      </c>
      <c r="I168" s="25">
        <f>H168/'Parâmetros'!$B$7</f>
        <v>0.1607733013</v>
      </c>
      <c r="J168" s="23">
        <f t="shared" si="3"/>
        <v>176862.361</v>
      </c>
      <c r="K168" s="23">
        <f t="shared" si="4"/>
        <v>140166.1651</v>
      </c>
      <c r="L168" s="29"/>
      <c r="M168" s="23"/>
    </row>
    <row r="169" ht="15.75" customHeight="1">
      <c r="A169" s="22">
        <v>168.0</v>
      </c>
      <c r="B169" s="22">
        <f t="shared" si="1"/>
        <v>14</v>
      </c>
      <c r="C169" s="23">
        <f>C168*(1+'Parâmetros'!$B$16)</f>
        <v>1944.190553</v>
      </c>
      <c r="D169" s="29">
        <f t="shared" si="6"/>
        <v>1944.190553</v>
      </c>
      <c r="E169" s="23">
        <f t="shared" si="5"/>
        <v>317028.5261</v>
      </c>
      <c r="F169" s="23">
        <f>E169*'Parâmetros'!$B$13</f>
        <v>2528.029987</v>
      </c>
      <c r="G169" s="23">
        <f t="shared" si="2"/>
        <v>321500.7467</v>
      </c>
      <c r="H169" s="23">
        <f>G169/(1+'Parâmetros'!$B$14)^A169</f>
        <v>162379.724</v>
      </c>
      <c r="I169" s="25">
        <f>H169/'Parâmetros'!$B$7</f>
        <v>0.162379724</v>
      </c>
      <c r="J169" s="23">
        <f t="shared" si="3"/>
        <v>178806.5515</v>
      </c>
      <c r="K169" s="23">
        <f t="shared" si="4"/>
        <v>142694.1951</v>
      </c>
      <c r="L169" s="29"/>
      <c r="M169" s="23"/>
    </row>
    <row r="170" ht="15.75" customHeight="1">
      <c r="A170" s="22">
        <v>169.0</v>
      </c>
      <c r="B170" s="22">
        <f t="shared" si="1"/>
        <v>15</v>
      </c>
      <c r="C170" s="23">
        <f>C169*(1+'Parâmetros'!$B$16)</f>
        <v>1960.064569</v>
      </c>
      <c r="D170" s="29">
        <f t="shared" si="6"/>
        <v>1960.064569</v>
      </c>
      <c r="E170" s="23">
        <f t="shared" si="5"/>
        <v>321500.7467</v>
      </c>
      <c r="F170" s="23">
        <f>E170*'Parâmetros'!$B$13</f>
        <v>2563.692102</v>
      </c>
      <c r="G170" s="23">
        <f t="shared" si="2"/>
        <v>326024.5033</v>
      </c>
      <c r="H170" s="23">
        <f>G170/(1+'Parâmetros'!$B$14)^A170</f>
        <v>163996.3869</v>
      </c>
      <c r="I170" s="25">
        <f>H170/'Parâmetros'!$B$7</f>
        <v>0.1639963869</v>
      </c>
      <c r="J170" s="23">
        <f t="shared" si="3"/>
        <v>180766.6161</v>
      </c>
      <c r="K170" s="23">
        <f t="shared" si="4"/>
        <v>145257.8872</v>
      </c>
      <c r="L170" s="29"/>
      <c r="M170" s="23"/>
    </row>
    <row r="171" ht="15.75" customHeight="1">
      <c r="A171" s="22">
        <v>170.0</v>
      </c>
      <c r="B171" s="22">
        <f t="shared" si="1"/>
        <v>15</v>
      </c>
      <c r="C171" s="23">
        <f>C170*(1+'Parâmetros'!$B$16)</f>
        <v>1976.068195</v>
      </c>
      <c r="D171" s="29">
        <f t="shared" si="6"/>
        <v>1976.068195</v>
      </c>
      <c r="E171" s="23">
        <f t="shared" si="5"/>
        <v>326024.5033</v>
      </c>
      <c r="F171" s="23">
        <f>E171*'Parâmetros'!$B$13</f>
        <v>2599.765173</v>
      </c>
      <c r="G171" s="23">
        <f t="shared" si="2"/>
        <v>330600.3367</v>
      </c>
      <c r="H171" s="23">
        <f>G171/(1+'Parâmetros'!$B$14)^A171</f>
        <v>165623.3462</v>
      </c>
      <c r="I171" s="25">
        <f>H171/'Parâmetros'!$B$7</f>
        <v>0.1656233462</v>
      </c>
      <c r="J171" s="23">
        <f t="shared" si="3"/>
        <v>182742.6843</v>
      </c>
      <c r="K171" s="23">
        <f t="shared" si="4"/>
        <v>147857.6524</v>
      </c>
      <c r="L171" s="29"/>
      <c r="M171" s="23"/>
    </row>
    <row r="172" ht="15.75" customHeight="1">
      <c r="A172" s="22">
        <v>171.0</v>
      </c>
      <c r="B172" s="22">
        <f t="shared" si="1"/>
        <v>15</v>
      </c>
      <c r="C172" s="23">
        <f>C171*(1+'Parâmetros'!$B$16)</f>
        <v>1992.202487</v>
      </c>
      <c r="D172" s="29">
        <f t="shared" si="6"/>
        <v>1992.202487</v>
      </c>
      <c r="E172" s="23">
        <f t="shared" si="5"/>
        <v>330600.3367</v>
      </c>
      <c r="F172" s="23">
        <f>E172*'Parâmetros'!$B$13</f>
        <v>2636.253511</v>
      </c>
      <c r="G172" s="23">
        <f t="shared" si="2"/>
        <v>335228.7927</v>
      </c>
      <c r="H172" s="23">
        <f>G172/(1+'Parâmetros'!$B$14)^A172</f>
        <v>167260.6581</v>
      </c>
      <c r="I172" s="25">
        <f>H172/'Parâmetros'!$B$7</f>
        <v>0.1672606581</v>
      </c>
      <c r="J172" s="23">
        <f t="shared" si="3"/>
        <v>184734.8868</v>
      </c>
      <c r="K172" s="23">
        <f t="shared" si="4"/>
        <v>150493.9059</v>
      </c>
      <c r="L172" s="29"/>
      <c r="M172" s="23"/>
    </row>
    <row r="173" ht="15.75" customHeight="1">
      <c r="A173" s="22">
        <v>172.0</v>
      </c>
      <c r="B173" s="22">
        <f t="shared" si="1"/>
        <v>15</v>
      </c>
      <c r="C173" s="23">
        <f>C172*(1+'Parâmetros'!$B$16)</f>
        <v>2008.468514</v>
      </c>
      <c r="D173" s="29">
        <f t="shared" si="6"/>
        <v>2008.468514</v>
      </c>
      <c r="E173" s="23">
        <f t="shared" si="5"/>
        <v>335228.7927</v>
      </c>
      <c r="F173" s="23">
        <f>E173*'Parâmetros'!$B$13</f>
        <v>2673.161469</v>
      </c>
      <c r="G173" s="23">
        <f t="shared" si="2"/>
        <v>339910.4227</v>
      </c>
      <c r="H173" s="23">
        <f>G173/(1+'Parâmetros'!$B$14)^A173</f>
        <v>168908.3793</v>
      </c>
      <c r="I173" s="25">
        <f>H173/'Parâmetros'!$B$7</f>
        <v>0.1689083793</v>
      </c>
      <c r="J173" s="23">
        <f t="shared" si="3"/>
        <v>186743.3553</v>
      </c>
      <c r="K173" s="23">
        <f t="shared" si="4"/>
        <v>153167.0674</v>
      </c>
      <c r="L173" s="29"/>
      <c r="M173" s="23"/>
    </row>
    <row r="174" ht="15.75" customHeight="1">
      <c r="A174" s="22">
        <v>173.0</v>
      </c>
      <c r="B174" s="22">
        <f t="shared" si="1"/>
        <v>15</v>
      </c>
      <c r="C174" s="23">
        <f>C173*(1+'Parâmetros'!$B$16)</f>
        <v>2024.86735</v>
      </c>
      <c r="D174" s="29">
        <f t="shared" si="6"/>
        <v>2024.86735</v>
      </c>
      <c r="E174" s="23">
        <f t="shared" si="5"/>
        <v>339910.4227</v>
      </c>
      <c r="F174" s="23">
        <f>E174*'Parâmetros'!$B$13</f>
        <v>2710.493444</v>
      </c>
      <c r="G174" s="23">
        <f t="shared" si="2"/>
        <v>344645.7835</v>
      </c>
      <c r="H174" s="23">
        <f>G174/(1+'Parâmetros'!$B$14)^A174</f>
        <v>170566.5668</v>
      </c>
      <c r="I174" s="25">
        <f>H174/'Parâmetros'!$B$7</f>
        <v>0.1705665668</v>
      </c>
      <c r="J174" s="23">
        <f t="shared" si="3"/>
        <v>188768.2227</v>
      </c>
      <c r="K174" s="23">
        <f t="shared" si="4"/>
        <v>155877.5608</v>
      </c>
      <c r="L174" s="29"/>
      <c r="M174" s="23"/>
    </row>
    <row r="175" ht="15.75" customHeight="1">
      <c r="A175" s="22">
        <v>174.0</v>
      </c>
      <c r="B175" s="22">
        <f t="shared" si="1"/>
        <v>15</v>
      </c>
      <c r="C175" s="23">
        <f>C174*(1+'Parâmetros'!$B$16)</f>
        <v>2041.40008</v>
      </c>
      <c r="D175" s="29">
        <f t="shared" si="6"/>
        <v>2041.40008</v>
      </c>
      <c r="E175" s="23">
        <f t="shared" si="5"/>
        <v>344645.7835</v>
      </c>
      <c r="F175" s="23">
        <f>E175*'Parâmetros'!$B$13</f>
        <v>2748.253876</v>
      </c>
      <c r="G175" s="23">
        <f t="shared" si="2"/>
        <v>349435.4374</v>
      </c>
      <c r="H175" s="23">
        <f>G175/(1+'Parâmetros'!$B$14)^A175</f>
        <v>172235.2777</v>
      </c>
      <c r="I175" s="25">
        <f>H175/'Parâmetros'!$B$7</f>
        <v>0.1722352777</v>
      </c>
      <c r="J175" s="23">
        <f t="shared" si="3"/>
        <v>190809.6227</v>
      </c>
      <c r="K175" s="23">
        <f t="shared" si="4"/>
        <v>158625.8147</v>
      </c>
      <c r="L175" s="29"/>
      <c r="M175" s="23"/>
    </row>
    <row r="176" ht="15.75" customHeight="1">
      <c r="A176" s="22">
        <v>175.0</v>
      </c>
      <c r="B176" s="22">
        <f t="shared" si="1"/>
        <v>15</v>
      </c>
      <c r="C176" s="23">
        <f>C175*(1+'Parâmetros'!$B$16)</f>
        <v>2058.067798</v>
      </c>
      <c r="D176" s="29">
        <f t="shared" si="6"/>
        <v>2058.067798</v>
      </c>
      <c r="E176" s="23">
        <f t="shared" si="5"/>
        <v>349435.4374</v>
      </c>
      <c r="F176" s="23">
        <f>E176*'Parâmetros'!$B$13</f>
        <v>2786.447249</v>
      </c>
      <c r="G176" s="23">
        <f t="shared" si="2"/>
        <v>354279.9525</v>
      </c>
      <c r="H176" s="23">
        <f>G176/(1+'Parâmetros'!$B$14)^A176</f>
        <v>173914.5696</v>
      </c>
      <c r="I176" s="25">
        <f>H176/'Parâmetros'!$B$7</f>
        <v>0.1739145696</v>
      </c>
      <c r="J176" s="23">
        <f t="shared" si="3"/>
        <v>192867.6905</v>
      </c>
      <c r="K176" s="23">
        <f t="shared" si="4"/>
        <v>161412.2619</v>
      </c>
      <c r="L176" s="29"/>
      <c r="M176" s="23"/>
    </row>
    <row r="177" ht="15.75" customHeight="1">
      <c r="A177" s="22">
        <v>176.0</v>
      </c>
      <c r="B177" s="22">
        <f t="shared" si="1"/>
        <v>15</v>
      </c>
      <c r="C177" s="23">
        <f>C176*(1+'Parâmetros'!$B$16)</f>
        <v>2074.871604</v>
      </c>
      <c r="D177" s="29">
        <f t="shared" si="6"/>
        <v>2074.871604</v>
      </c>
      <c r="E177" s="23">
        <f t="shared" si="5"/>
        <v>354279.9525</v>
      </c>
      <c r="F177" s="23">
        <f>E177*'Parâmetros'!$B$13</f>
        <v>2825.078092</v>
      </c>
      <c r="G177" s="23">
        <f t="shared" si="2"/>
        <v>359179.9022</v>
      </c>
      <c r="H177" s="23">
        <f>G177/(1+'Parâmetros'!$B$14)^A177</f>
        <v>175604.5003</v>
      </c>
      <c r="I177" s="25">
        <f>H177/'Parâmetros'!$B$7</f>
        <v>0.1756045003</v>
      </c>
      <c r="J177" s="23">
        <f t="shared" si="3"/>
        <v>194942.5621</v>
      </c>
      <c r="K177" s="23">
        <f t="shared" si="4"/>
        <v>164237.34</v>
      </c>
      <c r="L177" s="29"/>
      <c r="M177" s="23"/>
    </row>
    <row r="178" ht="15.75" customHeight="1">
      <c r="A178" s="22">
        <v>177.0</v>
      </c>
      <c r="B178" s="22">
        <f t="shared" si="1"/>
        <v>15</v>
      </c>
      <c r="C178" s="23">
        <f>C177*(1+'Parâmetros'!$B$16)</f>
        <v>2091.812612</v>
      </c>
      <c r="D178" s="29">
        <f t="shared" si="6"/>
        <v>2091.812612</v>
      </c>
      <c r="E178" s="23">
        <f t="shared" si="5"/>
        <v>359179.9022</v>
      </c>
      <c r="F178" s="23">
        <f>E178*'Parâmetros'!$B$13</f>
        <v>2864.150979</v>
      </c>
      <c r="G178" s="23">
        <f t="shared" si="2"/>
        <v>364135.8658</v>
      </c>
      <c r="H178" s="23">
        <f>G178/(1+'Parâmetros'!$B$14)^A178</f>
        <v>177305.1278</v>
      </c>
      <c r="I178" s="25">
        <f>H178/'Parâmetros'!$B$7</f>
        <v>0.1773051278</v>
      </c>
      <c r="J178" s="23">
        <f t="shared" si="3"/>
        <v>197034.3748</v>
      </c>
      <c r="K178" s="23">
        <f t="shared" si="4"/>
        <v>167101.491</v>
      </c>
      <c r="L178" s="29"/>
      <c r="M178" s="23"/>
    </row>
    <row r="179" ht="15.75" customHeight="1">
      <c r="A179" s="22">
        <v>178.0</v>
      </c>
      <c r="B179" s="22">
        <f t="shared" si="1"/>
        <v>15</v>
      </c>
      <c r="C179" s="23">
        <f>C178*(1+'Parâmetros'!$B$16)</f>
        <v>2108.89194</v>
      </c>
      <c r="D179" s="29">
        <f t="shared" si="6"/>
        <v>2108.89194</v>
      </c>
      <c r="E179" s="23">
        <f t="shared" si="5"/>
        <v>364135.8658</v>
      </c>
      <c r="F179" s="23">
        <f>E179*'Parâmetros'!$B$13</f>
        <v>2903.670529</v>
      </c>
      <c r="G179" s="23">
        <f t="shared" si="2"/>
        <v>369148.4282</v>
      </c>
      <c r="H179" s="23">
        <f>G179/(1+'Parâmetros'!$B$14)^A179</f>
        <v>179016.5105</v>
      </c>
      <c r="I179" s="25">
        <f>H179/'Parâmetros'!$B$7</f>
        <v>0.1790165105</v>
      </c>
      <c r="J179" s="23">
        <f t="shared" si="3"/>
        <v>199143.2667</v>
      </c>
      <c r="K179" s="23">
        <f t="shared" si="4"/>
        <v>170005.1615</v>
      </c>
      <c r="L179" s="29"/>
      <c r="M179" s="23"/>
    </row>
    <row r="180" ht="15.75" customHeight="1">
      <c r="A180" s="22">
        <v>179.0</v>
      </c>
      <c r="B180" s="22">
        <f t="shared" si="1"/>
        <v>15</v>
      </c>
      <c r="C180" s="23">
        <f>C179*(1+'Parâmetros'!$B$16)</f>
        <v>2126.110718</v>
      </c>
      <c r="D180" s="29">
        <f t="shared" si="6"/>
        <v>2126.110718</v>
      </c>
      <c r="E180" s="23">
        <f t="shared" si="5"/>
        <v>369148.4282</v>
      </c>
      <c r="F180" s="23">
        <f>E180*'Parâmetros'!$B$13</f>
        <v>2943.641406</v>
      </c>
      <c r="G180" s="23">
        <f t="shared" si="2"/>
        <v>374218.1804</v>
      </c>
      <c r="H180" s="23">
        <f>G180/(1+'Parâmetros'!$B$14)^A180</f>
        <v>180738.7072</v>
      </c>
      <c r="I180" s="25">
        <f>H180/'Parâmetros'!$B$7</f>
        <v>0.1807387072</v>
      </c>
      <c r="J180" s="23">
        <f t="shared" si="3"/>
        <v>201269.3774</v>
      </c>
      <c r="K180" s="23">
        <f t="shared" si="4"/>
        <v>172948.8029</v>
      </c>
      <c r="L180" s="29"/>
      <c r="M180" s="23"/>
    </row>
    <row r="181" ht="15.75" customHeight="1">
      <c r="A181" s="22">
        <v>180.0</v>
      </c>
      <c r="B181" s="22">
        <f t="shared" si="1"/>
        <v>15</v>
      </c>
      <c r="C181" s="23">
        <f>C180*(1+'Parâmetros'!$B$16)</f>
        <v>2143.470084</v>
      </c>
      <c r="D181" s="29">
        <f t="shared" si="6"/>
        <v>2143.470084</v>
      </c>
      <c r="E181" s="23">
        <f t="shared" si="5"/>
        <v>374218.1804</v>
      </c>
      <c r="F181" s="23">
        <f>E181*'Parâmetros'!$B$13</f>
        <v>2984.068321</v>
      </c>
      <c r="G181" s="23">
        <f t="shared" si="2"/>
        <v>379345.7188</v>
      </c>
      <c r="H181" s="23">
        <f>G181/(1+'Parâmetros'!$B$14)^A181</f>
        <v>182471.7768</v>
      </c>
      <c r="I181" s="25">
        <f>H181/'Parâmetros'!$B$7</f>
        <v>0.1824717768</v>
      </c>
      <c r="J181" s="23">
        <f t="shared" si="3"/>
        <v>203412.8475</v>
      </c>
      <c r="K181" s="23">
        <f t="shared" si="4"/>
        <v>175932.8713</v>
      </c>
      <c r="L181" s="29"/>
      <c r="M181" s="23"/>
    </row>
    <row r="182" ht="15.75" customHeight="1">
      <c r="A182" s="22">
        <v>181.0</v>
      </c>
      <c r="B182" s="22">
        <f t="shared" si="1"/>
        <v>16</v>
      </c>
      <c r="C182" s="23">
        <f>C181*(1+'Parâmetros'!$B$16)</f>
        <v>2160.971188</v>
      </c>
      <c r="D182" s="29">
        <f t="shared" si="6"/>
        <v>2160.971188</v>
      </c>
      <c r="E182" s="23">
        <f t="shared" si="5"/>
        <v>379345.7188</v>
      </c>
      <c r="F182" s="23">
        <f>E182*'Parâmetros'!$B$13</f>
        <v>3024.956033</v>
      </c>
      <c r="G182" s="23">
        <f t="shared" si="2"/>
        <v>384531.646</v>
      </c>
      <c r="H182" s="23">
        <f>G182/(1+'Parâmetros'!$B$14)^A182</f>
        <v>184215.7786</v>
      </c>
      <c r="I182" s="25">
        <f>H182/'Parâmetros'!$B$7</f>
        <v>0.1842157786</v>
      </c>
      <c r="J182" s="23">
        <f t="shared" si="3"/>
        <v>205573.8187</v>
      </c>
      <c r="K182" s="23">
        <f t="shared" si="4"/>
        <v>178957.8273</v>
      </c>
      <c r="L182" s="29"/>
      <c r="M182" s="23"/>
    </row>
    <row r="183" ht="15.75" customHeight="1">
      <c r="A183" s="22">
        <v>182.0</v>
      </c>
      <c r="B183" s="22">
        <f t="shared" si="1"/>
        <v>16</v>
      </c>
      <c r="C183" s="23">
        <f>C182*(1+'Parâmetros'!$B$16)</f>
        <v>2178.615185</v>
      </c>
      <c r="D183" s="29">
        <f t="shared" si="6"/>
        <v>2178.615185</v>
      </c>
      <c r="E183" s="23">
        <f t="shared" si="5"/>
        <v>384531.646</v>
      </c>
      <c r="F183" s="23">
        <f>E183*'Parâmetros'!$B$13</f>
        <v>3066.309344</v>
      </c>
      <c r="G183" s="23">
        <f t="shared" si="2"/>
        <v>389776.5705</v>
      </c>
      <c r="H183" s="23">
        <f>G183/(1+'Parâmetros'!$B$14)^A183</f>
        <v>185970.7721</v>
      </c>
      <c r="I183" s="25">
        <f>H183/'Parâmetros'!$B$7</f>
        <v>0.1859707721</v>
      </c>
      <c r="J183" s="23">
        <f t="shared" si="3"/>
        <v>207752.4339</v>
      </c>
      <c r="K183" s="23">
        <f t="shared" si="4"/>
        <v>182024.1366</v>
      </c>
      <c r="L183" s="29"/>
      <c r="M183" s="23"/>
    </row>
    <row r="184" ht="15.75" customHeight="1">
      <c r="A184" s="22">
        <v>183.0</v>
      </c>
      <c r="B184" s="22">
        <f t="shared" si="1"/>
        <v>16</v>
      </c>
      <c r="C184" s="23">
        <f>C183*(1+'Parâmetros'!$B$16)</f>
        <v>2196.403242</v>
      </c>
      <c r="D184" s="29">
        <f t="shared" si="6"/>
        <v>2196.403242</v>
      </c>
      <c r="E184" s="23">
        <f t="shared" si="5"/>
        <v>389776.5705</v>
      </c>
      <c r="F184" s="23">
        <f>E184*'Parâmetros'!$B$13</f>
        <v>3108.133109</v>
      </c>
      <c r="G184" s="23">
        <f t="shared" si="2"/>
        <v>395081.1069</v>
      </c>
      <c r="H184" s="23">
        <f>G184/(1+'Parâmetros'!$B$14)^A184</f>
        <v>187736.8173</v>
      </c>
      <c r="I184" s="25">
        <f>H184/'Parâmetros'!$B$7</f>
        <v>0.1877368173</v>
      </c>
      <c r="J184" s="23">
        <f t="shared" si="3"/>
        <v>209948.8371</v>
      </c>
      <c r="K184" s="23">
        <f t="shared" si="4"/>
        <v>185132.2698</v>
      </c>
      <c r="L184" s="29"/>
      <c r="M184" s="23"/>
    </row>
    <row r="185" ht="15.75" customHeight="1">
      <c r="A185" s="22">
        <v>184.0</v>
      </c>
      <c r="B185" s="22">
        <f t="shared" si="1"/>
        <v>16</v>
      </c>
      <c r="C185" s="23">
        <f>C184*(1+'Parâmetros'!$B$16)</f>
        <v>2214.336537</v>
      </c>
      <c r="D185" s="29">
        <f t="shared" si="6"/>
        <v>2214.336537</v>
      </c>
      <c r="E185" s="23">
        <f t="shared" si="5"/>
        <v>395081.1069</v>
      </c>
      <c r="F185" s="23">
        <f>E185*'Parâmetros'!$B$13</f>
        <v>3150.432227</v>
      </c>
      <c r="G185" s="23">
        <f t="shared" si="2"/>
        <v>400445.8756</v>
      </c>
      <c r="H185" s="23">
        <f>G185/(1+'Parâmetros'!$B$14)^A185</f>
        <v>189513.9743</v>
      </c>
      <c r="I185" s="25">
        <f>H185/'Parâmetros'!$B$7</f>
        <v>0.1895139743</v>
      </c>
      <c r="J185" s="23">
        <f t="shared" si="3"/>
        <v>212163.1736</v>
      </c>
      <c r="K185" s="23">
        <f t="shared" si="4"/>
        <v>188282.702</v>
      </c>
      <c r="L185" s="29"/>
      <c r="M185" s="23"/>
    </row>
    <row r="186" ht="15.75" customHeight="1">
      <c r="A186" s="22">
        <v>185.0</v>
      </c>
      <c r="B186" s="22">
        <f t="shared" si="1"/>
        <v>16</v>
      </c>
      <c r="C186" s="23">
        <f>C185*(1+'Parâmetros'!$B$16)</f>
        <v>2232.416254</v>
      </c>
      <c r="D186" s="29">
        <f t="shared" si="6"/>
        <v>2232.416254</v>
      </c>
      <c r="E186" s="23">
        <f t="shared" si="5"/>
        <v>400445.8756</v>
      </c>
      <c r="F186" s="23">
        <f>E186*'Parâmetros'!$B$13</f>
        <v>3193.211646</v>
      </c>
      <c r="G186" s="23">
        <f t="shared" si="2"/>
        <v>405871.5035</v>
      </c>
      <c r="H186" s="23">
        <f>G186/(1+'Parâmetros'!$B$14)^A186</f>
        <v>191302.3036</v>
      </c>
      <c r="I186" s="25">
        <f>H186/'Parâmetros'!$B$7</f>
        <v>0.1913023036</v>
      </c>
      <c r="J186" s="23">
        <f t="shared" si="3"/>
        <v>214395.5899</v>
      </c>
      <c r="K186" s="23">
        <f t="shared" si="4"/>
        <v>191475.9136</v>
      </c>
      <c r="L186" s="29"/>
      <c r="M186" s="23"/>
    </row>
    <row r="187" ht="15.75" customHeight="1">
      <c r="A187" s="22">
        <v>186.0</v>
      </c>
      <c r="B187" s="22">
        <f t="shared" si="1"/>
        <v>16</v>
      </c>
      <c r="C187" s="23">
        <f>C186*(1+'Parâmetros'!$B$16)</f>
        <v>2250.643589</v>
      </c>
      <c r="D187" s="29">
        <f t="shared" si="6"/>
        <v>2250.643589</v>
      </c>
      <c r="E187" s="23">
        <f t="shared" si="5"/>
        <v>405871.5035</v>
      </c>
      <c r="F187" s="23">
        <f>E187*'Parâmetros'!$B$13</f>
        <v>3236.476365</v>
      </c>
      <c r="G187" s="23">
        <f t="shared" si="2"/>
        <v>411358.6235</v>
      </c>
      <c r="H187" s="23">
        <f>G187/(1+'Parâmetros'!$B$14)^A187</f>
        <v>193101.866</v>
      </c>
      <c r="I187" s="25">
        <f>H187/'Parâmetros'!$B$7</f>
        <v>0.193101866</v>
      </c>
      <c r="J187" s="23">
        <f t="shared" si="3"/>
        <v>216646.2335</v>
      </c>
      <c r="K187" s="23">
        <f t="shared" si="4"/>
        <v>194712.39</v>
      </c>
      <c r="L187" s="29"/>
      <c r="M187" s="23"/>
    </row>
    <row r="188" ht="15.75" customHeight="1">
      <c r="A188" s="22">
        <v>187.0</v>
      </c>
      <c r="B188" s="22">
        <f t="shared" si="1"/>
        <v>16</v>
      </c>
      <c r="C188" s="23">
        <f>C187*(1+'Parâmetros'!$B$16)</f>
        <v>2269.019747</v>
      </c>
      <c r="D188" s="29">
        <f t="shared" si="6"/>
        <v>2269.019747</v>
      </c>
      <c r="E188" s="23">
        <f t="shared" si="5"/>
        <v>411358.6235</v>
      </c>
      <c r="F188" s="23">
        <f>E188*'Parâmetros'!$B$13</f>
        <v>3280.23143</v>
      </c>
      <c r="G188" s="23">
        <f t="shared" si="2"/>
        <v>416907.8747</v>
      </c>
      <c r="H188" s="23">
        <f>G188/(1+'Parâmetros'!$B$14)^A188</f>
        <v>194912.7225</v>
      </c>
      <c r="I188" s="25">
        <f>H188/'Parâmetros'!$B$7</f>
        <v>0.1949127225</v>
      </c>
      <c r="J188" s="23">
        <f t="shared" si="3"/>
        <v>218915.2532</v>
      </c>
      <c r="K188" s="23">
        <f t="shared" si="4"/>
        <v>197992.6214</v>
      </c>
      <c r="L188" s="29"/>
      <c r="M188" s="23"/>
    </row>
    <row r="189" ht="15.75" customHeight="1">
      <c r="A189" s="22">
        <v>188.0</v>
      </c>
      <c r="B189" s="22">
        <f t="shared" si="1"/>
        <v>16</v>
      </c>
      <c r="C189" s="23">
        <f>C188*(1+'Parâmetros'!$B$16)</f>
        <v>2287.545944</v>
      </c>
      <c r="D189" s="29">
        <f t="shared" si="6"/>
        <v>2287.545944</v>
      </c>
      <c r="E189" s="23">
        <f t="shared" si="5"/>
        <v>416907.8747</v>
      </c>
      <c r="F189" s="23">
        <f>E189*'Parâmetros'!$B$13</f>
        <v>3324.481938</v>
      </c>
      <c r="G189" s="23">
        <f t="shared" si="2"/>
        <v>422519.9025</v>
      </c>
      <c r="H189" s="23">
        <f>G189/(1+'Parâmetros'!$B$14)^A189</f>
        <v>196734.9347</v>
      </c>
      <c r="I189" s="25">
        <f>H189/'Parâmetros'!$B$7</f>
        <v>0.1967349347</v>
      </c>
      <c r="J189" s="23">
        <f t="shared" si="3"/>
        <v>221202.7992</v>
      </c>
      <c r="K189" s="23">
        <f t="shared" si="4"/>
        <v>201317.1034</v>
      </c>
      <c r="L189" s="29"/>
      <c r="M189" s="23"/>
    </row>
    <row r="190" ht="15.75" customHeight="1">
      <c r="A190" s="22">
        <v>189.0</v>
      </c>
      <c r="B190" s="22">
        <f t="shared" si="1"/>
        <v>16</v>
      </c>
      <c r="C190" s="23">
        <f>C189*(1+'Parâmetros'!$B$16)</f>
        <v>2306.223404</v>
      </c>
      <c r="D190" s="29">
        <f t="shared" si="6"/>
        <v>2306.223404</v>
      </c>
      <c r="E190" s="23">
        <f t="shared" si="5"/>
        <v>422519.9025</v>
      </c>
      <c r="F190" s="23">
        <f>E190*'Parâmetros'!$B$13</f>
        <v>3369.233037</v>
      </c>
      <c r="G190" s="23">
        <f t="shared" si="2"/>
        <v>428195.359</v>
      </c>
      <c r="H190" s="23">
        <f>G190/(1+'Parâmetros'!$B$14)^A190</f>
        <v>198568.5642</v>
      </c>
      <c r="I190" s="25">
        <f>H190/'Parâmetros'!$B$7</f>
        <v>0.1985685642</v>
      </c>
      <c r="J190" s="23">
        <f t="shared" si="3"/>
        <v>223509.0226</v>
      </c>
      <c r="K190" s="23">
        <f t="shared" si="4"/>
        <v>204686.3364</v>
      </c>
      <c r="L190" s="29"/>
      <c r="M190" s="23"/>
    </row>
    <row r="191" ht="15.75" customHeight="1">
      <c r="A191" s="30">
        <v>190.0</v>
      </c>
      <c r="B191" s="30">
        <f t="shared" si="1"/>
        <v>16</v>
      </c>
      <c r="C191" s="31">
        <f>C190*(1+'Parâmetros'!$B$16)</f>
        <v>2325.053363</v>
      </c>
      <c r="D191" s="32">
        <f t="shared" si="6"/>
        <v>2325.053363</v>
      </c>
      <c r="E191" s="31">
        <f t="shared" si="5"/>
        <v>428195.359</v>
      </c>
      <c r="F191" s="31">
        <f>E191*'Parâmetros'!$B$13</f>
        <v>3414.489924</v>
      </c>
      <c r="G191" s="31">
        <f t="shared" si="2"/>
        <v>433934.9023</v>
      </c>
      <c r="H191" s="31">
        <f>G191/(1+'Parâmetros'!$B$14)^A191</f>
        <v>200413.673</v>
      </c>
      <c r="I191" s="33">
        <f>H191/'Parâmetros'!$B$7</f>
        <v>0.200413673</v>
      </c>
      <c r="J191" s="31">
        <f t="shared" si="3"/>
        <v>225834.0759</v>
      </c>
      <c r="K191" s="31">
        <f t="shared" si="4"/>
        <v>208100.8263</v>
      </c>
      <c r="L191" s="29"/>
      <c r="M191" s="23"/>
    </row>
    <row r="192" ht="15.75" customHeight="1">
      <c r="A192" s="22">
        <v>191.0</v>
      </c>
      <c r="B192" s="22">
        <f t="shared" si="1"/>
        <v>16</v>
      </c>
      <c r="C192" s="23">
        <f>C191*(1+'Parâmetros'!$B$16)</f>
        <v>2344.037066</v>
      </c>
      <c r="D192" s="29">
        <f t="shared" si="6"/>
        <v>2344.037066</v>
      </c>
      <c r="E192" s="23">
        <f t="shared" si="5"/>
        <v>433934.9023</v>
      </c>
      <c r="F192" s="23">
        <f>E192*'Parâmetros'!$B$13</f>
        <v>3460.257848</v>
      </c>
      <c r="G192" s="23">
        <f t="shared" si="2"/>
        <v>439739.1972</v>
      </c>
      <c r="H192" s="23">
        <f>G192/(1+'Parâmetros'!$B$14)^A192</f>
        <v>202270.3235</v>
      </c>
      <c r="I192" s="25">
        <f>H192/'Parâmetros'!$B$7</f>
        <v>0.2022703235</v>
      </c>
      <c r="J192" s="23">
        <f t="shared" si="3"/>
        <v>228178.113</v>
      </c>
      <c r="K192" s="23">
        <f t="shared" si="4"/>
        <v>211561.0842</v>
      </c>
      <c r="L192" s="29"/>
      <c r="M192" s="23"/>
    </row>
    <row r="193" ht="15.75" customHeight="1">
      <c r="A193" s="22">
        <v>192.0</v>
      </c>
      <c r="B193" s="22">
        <f t="shared" si="1"/>
        <v>16</v>
      </c>
      <c r="C193" s="23">
        <f>C192*(1+'Parâmetros'!$B$16)</f>
        <v>2363.175768</v>
      </c>
      <c r="D193" s="29">
        <f t="shared" si="6"/>
        <v>2363.175768</v>
      </c>
      <c r="E193" s="23">
        <f t="shared" si="5"/>
        <v>439739.1972</v>
      </c>
      <c r="F193" s="23">
        <f>E193*'Parâmetros'!$B$13</f>
        <v>3506.54211</v>
      </c>
      <c r="G193" s="23">
        <f t="shared" si="2"/>
        <v>445608.9151</v>
      </c>
      <c r="H193" s="23">
        <f>G193/(1+'Parâmetros'!$B$14)^A193</f>
        <v>204138.5783</v>
      </c>
      <c r="I193" s="25">
        <f>H193/'Parâmetros'!$B$7</f>
        <v>0.2041385783</v>
      </c>
      <c r="J193" s="23">
        <f t="shared" si="3"/>
        <v>230541.2888</v>
      </c>
      <c r="K193" s="23">
        <f t="shared" si="4"/>
        <v>215067.6263</v>
      </c>
      <c r="L193" s="29"/>
      <c r="M193" s="23"/>
    </row>
    <row r="194" ht="15.75" customHeight="1">
      <c r="A194" s="22">
        <v>193.0</v>
      </c>
      <c r="B194" s="22">
        <f t="shared" si="1"/>
        <v>17</v>
      </c>
      <c r="C194" s="23">
        <f>C193*(1+'Parâmetros'!$B$16)</f>
        <v>2382.470734</v>
      </c>
      <c r="D194" s="29">
        <f t="shared" si="6"/>
        <v>2382.470734</v>
      </c>
      <c r="E194" s="23">
        <f t="shared" si="5"/>
        <v>445608.9151</v>
      </c>
      <c r="F194" s="23">
        <f>E194*'Parâmetros'!$B$13</f>
        <v>3553.348065</v>
      </c>
      <c r="G194" s="23">
        <f t="shared" si="2"/>
        <v>451544.7339</v>
      </c>
      <c r="H194" s="23">
        <f>G194/(1+'Parâmetros'!$B$14)^A194</f>
        <v>206018.5004</v>
      </c>
      <c r="I194" s="25">
        <f>H194/'Parâmetros'!$B$7</f>
        <v>0.2060185004</v>
      </c>
      <c r="J194" s="23">
        <f t="shared" si="3"/>
        <v>232923.7595</v>
      </c>
      <c r="K194" s="23">
        <f t="shared" si="4"/>
        <v>218620.9743</v>
      </c>
      <c r="L194" s="29"/>
      <c r="M194" s="23"/>
    </row>
    <row r="195" ht="15.75" customHeight="1">
      <c r="A195" s="22">
        <v>194.0</v>
      </c>
      <c r="B195" s="22">
        <f t="shared" si="1"/>
        <v>17</v>
      </c>
      <c r="C195" s="23">
        <f>C194*(1+'Parâmetros'!$B$16)</f>
        <v>2401.923241</v>
      </c>
      <c r="D195" s="29">
        <f t="shared" si="6"/>
        <v>2401.923241</v>
      </c>
      <c r="E195" s="23">
        <f t="shared" si="5"/>
        <v>451544.7339</v>
      </c>
      <c r="F195" s="23">
        <f>E195*'Parâmetros'!$B$13</f>
        <v>3600.681118</v>
      </c>
      <c r="G195" s="23">
        <f t="shared" si="2"/>
        <v>457547.3382</v>
      </c>
      <c r="H195" s="23">
        <f>G195/(1+'Parâmetros'!$B$14)^A195</f>
        <v>207910.1531</v>
      </c>
      <c r="I195" s="25">
        <f>H195/'Parâmetros'!$B$7</f>
        <v>0.2079101531</v>
      </c>
      <c r="J195" s="23">
        <f t="shared" si="3"/>
        <v>235325.6828</v>
      </c>
      <c r="K195" s="23">
        <f t="shared" si="4"/>
        <v>222221.6555</v>
      </c>
      <c r="L195" s="29"/>
      <c r="M195" s="23"/>
    </row>
    <row r="196" ht="15.75" customHeight="1">
      <c r="A196" s="22">
        <v>195.0</v>
      </c>
      <c r="B196" s="22">
        <f t="shared" si="1"/>
        <v>17</v>
      </c>
      <c r="C196" s="23">
        <f>C195*(1+'Parâmetros'!$B$16)</f>
        <v>2421.534575</v>
      </c>
      <c r="D196" s="29">
        <f t="shared" si="6"/>
        <v>2421.534575</v>
      </c>
      <c r="E196" s="23">
        <f t="shared" si="5"/>
        <v>457547.3382</v>
      </c>
      <c r="F196" s="23">
        <f>E196*'Parâmetros'!$B$13</f>
        <v>3648.546728</v>
      </c>
      <c r="G196" s="23">
        <f t="shared" si="2"/>
        <v>463617.4195</v>
      </c>
      <c r="H196" s="23">
        <f>G196/(1+'Parâmetros'!$B$14)^A196</f>
        <v>209813.6</v>
      </c>
      <c r="I196" s="25">
        <f>H196/'Parâmetros'!$B$7</f>
        <v>0.2098136</v>
      </c>
      <c r="J196" s="23">
        <f t="shared" si="3"/>
        <v>237747.2173</v>
      </c>
      <c r="K196" s="23">
        <f t="shared" si="4"/>
        <v>225870.2022</v>
      </c>
      <c r="L196" s="29"/>
      <c r="M196" s="23"/>
    </row>
    <row r="197" ht="15.75" customHeight="1">
      <c r="A197" s="22">
        <v>196.0</v>
      </c>
      <c r="B197" s="22">
        <f t="shared" si="1"/>
        <v>17</v>
      </c>
      <c r="C197" s="23">
        <f>C196*(1+'Parâmetros'!$B$16)</f>
        <v>2441.306032</v>
      </c>
      <c r="D197" s="29">
        <f t="shared" si="6"/>
        <v>2441.306032</v>
      </c>
      <c r="E197" s="23">
        <f t="shared" si="5"/>
        <v>463617.4195</v>
      </c>
      <c r="F197" s="23">
        <f>E197*'Parâmetros'!$B$13</f>
        <v>3696.950409</v>
      </c>
      <c r="G197" s="23">
        <f t="shared" si="2"/>
        <v>469755.676</v>
      </c>
      <c r="H197" s="23">
        <f>G197/(1+'Parâmetros'!$B$14)^A197</f>
        <v>211728.905</v>
      </c>
      <c r="I197" s="25">
        <f>H197/'Parâmetros'!$B$7</f>
        <v>0.211728905</v>
      </c>
      <c r="J197" s="23">
        <f t="shared" si="3"/>
        <v>240188.5234</v>
      </c>
      <c r="K197" s="23">
        <f t="shared" si="4"/>
        <v>229567.1526</v>
      </c>
      <c r="L197" s="29"/>
      <c r="M197" s="23"/>
    </row>
    <row r="198" ht="15.75" customHeight="1">
      <c r="A198" s="22">
        <v>197.0</v>
      </c>
      <c r="B198" s="22">
        <f t="shared" si="1"/>
        <v>17</v>
      </c>
      <c r="C198" s="23">
        <f>C197*(1+'Parâmetros'!$B$16)</f>
        <v>2461.238919</v>
      </c>
      <c r="D198" s="29">
        <f t="shared" si="6"/>
        <v>2461.238919</v>
      </c>
      <c r="E198" s="23">
        <f t="shared" si="5"/>
        <v>469755.676</v>
      </c>
      <c r="F198" s="23">
        <f>E198*'Parâmetros'!$B$13</f>
        <v>3745.897727</v>
      </c>
      <c r="G198" s="23">
        <f t="shared" si="2"/>
        <v>475962.8126</v>
      </c>
      <c r="H198" s="23">
        <f>G198/(1+'Parâmetros'!$B$14)^A198</f>
        <v>213656.1324</v>
      </c>
      <c r="I198" s="25">
        <f>H198/'Parâmetros'!$B$7</f>
        <v>0.2136561324</v>
      </c>
      <c r="J198" s="23">
        <f t="shared" si="3"/>
        <v>242649.7623</v>
      </c>
      <c r="K198" s="23">
        <f t="shared" si="4"/>
        <v>233313.0503</v>
      </c>
      <c r="L198" s="29"/>
      <c r="M198" s="23"/>
    </row>
    <row r="199" ht="15.75" customHeight="1">
      <c r="A199" s="22">
        <v>198.0</v>
      </c>
      <c r="B199" s="22">
        <f t="shared" si="1"/>
        <v>17</v>
      </c>
      <c r="C199" s="23">
        <f>C198*(1+'Parâmetros'!$B$16)</f>
        <v>2481.334556</v>
      </c>
      <c r="D199" s="29">
        <f t="shared" si="6"/>
        <v>2481.334556</v>
      </c>
      <c r="E199" s="23">
        <f t="shared" si="5"/>
        <v>475962.8126</v>
      </c>
      <c r="F199" s="23">
        <f>E199*'Parâmetros'!$B$13</f>
        <v>3795.394307</v>
      </c>
      <c r="G199" s="23">
        <f t="shared" si="2"/>
        <v>482239.5415</v>
      </c>
      <c r="H199" s="23">
        <f>G199/(1+'Parâmetros'!$B$14)^A199</f>
        <v>215595.3467</v>
      </c>
      <c r="I199" s="25">
        <f>H199/'Parâmetros'!$B$7</f>
        <v>0.2155953467</v>
      </c>
      <c r="J199" s="23">
        <f t="shared" si="3"/>
        <v>245131.0968</v>
      </c>
      <c r="K199" s="23">
        <f t="shared" si="4"/>
        <v>237108.4446</v>
      </c>
      <c r="L199" s="29"/>
      <c r="M199" s="23"/>
    </row>
    <row r="200" ht="15.75" customHeight="1">
      <c r="A200" s="22">
        <v>199.0</v>
      </c>
      <c r="B200" s="22">
        <f t="shared" si="1"/>
        <v>17</v>
      </c>
      <c r="C200" s="23">
        <f>C199*(1+'Parâmetros'!$B$16)</f>
        <v>2501.594271</v>
      </c>
      <c r="D200" s="29">
        <f t="shared" si="6"/>
        <v>2501.594271</v>
      </c>
      <c r="E200" s="23">
        <f t="shared" si="5"/>
        <v>482239.5415</v>
      </c>
      <c r="F200" s="23">
        <f>E200*'Parâmetros'!$B$13</f>
        <v>3845.445824</v>
      </c>
      <c r="G200" s="23">
        <f t="shared" si="2"/>
        <v>488586.5816</v>
      </c>
      <c r="H200" s="23">
        <f>G200/(1+'Parâmetros'!$B$14)^A200</f>
        <v>217546.6129</v>
      </c>
      <c r="I200" s="25">
        <f>H200/'Parâmetros'!$B$7</f>
        <v>0.2175466129</v>
      </c>
      <c r="J200" s="23">
        <f t="shared" si="3"/>
        <v>247632.6911</v>
      </c>
      <c r="K200" s="23">
        <f t="shared" si="4"/>
        <v>240953.8905</v>
      </c>
      <c r="L200" s="29"/>
      <c r="M200" s="23"/>
    </row>
    <row r="201" ht="15.75" customHeight="1">
      <c r="A201" s="22">
        <v>200.0</v>
      </c>
      <c r="B201" s="22">
        <f t="shared" si="1"/>
        <v>17</v>
      </c>
      <c r="C201" s="23">
        <f>C200*(1+'Parâmetros'!$B$16)</f>
        <v>2522.019403</v>
      </c>
      <c r="D201" s="29">
        <f t="shared" si="6"/>
        <v>2522.019403</v>
      </c>
      <c r="E201" s="23">
        <f t="shared" si="5"/>
        <v>488586.5816</v>
      </c>
      <c r="F201" s="23">
        <f>E201*'Parâmetros'!$B$13</f>
        <v>3896.058013</v>
      </c>
      <c r="G201" s="23">
        <f t="shared" si="2"/>
        <v>495004.659</v>
      </c>
      <c r="H201" s="23">
        <f>G201/(1+'Parâmetros'!$B$14)^A201</f>
        <v>219509.9961</v>
      </c>
      <c r="I201" s="25">
        <f>H201/'Parâmetros'!$B$7</f>
        <v>0.2195099961</v>
      </c>
      <c r="J201" s="23">
        <f t="shared" si="3"/>
        <v>250154.7105</v>
      </c>
      <c r="K201" s="23">
        <f t="shared" si="4"/>
        <v>244849.9485</v>
      </c>
      <c r="L201" s="29"/>
      <c r="M201" s="23"/>
    </row>
    <row r="202" ht="15.75" customHeight="1">
      <c r="A202" s="22">
        <v>201.0</v>
      </c>
      <c r="B202" s="22">
        <f t="shared" si="1"/>
        <v>17</v>
      </c>
      <c r="C202" s="23">
        <f>C201*(1+'Parâmetros'!$B$16)</f>
        <v>2542.611303</v>
      </c>
      <c r="D202" s="29">
        <f t="shared" si="6"/>
        <v>2542.611303</v>
      </c>
      <c r="E202" s="23">
        <f t="shared" si="5"/>
        <v>495004.659</v>
      </c>
      <c r="F202" s="23">
        <f>E202*'Parâmetros'!$B$13</f>
        <v>3947.236664</v>
      </c>
      <c r="G202" s="23">
        <f t="shared" si="2"/>
        <v>501494.5069</v>
      </c>
      <c r="H202" s="23">
        <f>G202/(1+'Parâmetros'!$B$14)^A202</f>
        <v>221485.5619</v>
      </c>
      <c r="I202" s="25">
        <f>H202/'Parâmetros'!$B$7</f>
        <v>0.2214855619</v>
      </c>
      <c r="J202" s="23">
        <f t="shared" si="3"/>
        <v>252697.3218</v>
      </c>
      <c r="K202" s="23">
        <f t="shared" si="4"/>
        <v>248797.1851</v>
      </c>
      <c r="L202" s="29"/>
      <c r="M202" s="23"/>
    </row>
    <row r="203" ht="15.75" customHeight="1">
      <c r="A203" s="22">
        <v>202.0</v>
      </c>
      <c r="B203" s="22">
        <f t="shared" si="1"/>
        <v>17</v>
      </c>
      <c r="C203" s="23">
        <f>C202*(1+'Parâmetros'!$B$16)</f>
        <v>2563.371333</v>
      </c>
      <c r="D203" s="29">
        <f t="shared" si="6"/>
        <v>2563.371333</v>
      </c>
      <c r="E203" s="23">
        <f t="shared" si="5"/>
        <v>501494.5069</v>
      </c>
      <c r="F203" s="23">
        <f>E203*'Parâmetros'!$B$13</f>
        <v>3998.987623</v>
      </c>
      <c r="G203" s="23">
        <f t="shared" si="2"/>
        <v>508056.8659</v>
      </c>
      <c r="H203" s="23">
        <f>G203/(1+'Parâmetros'!$B$14)^A203</f>
        <v>223473.3763</v>
      </c>
      <c r="I203" s="25">
        <f>H203/'Parâmetros'!$B$7</f>
        <v>0.2234733763</v>
      </c>
      <c r="J203" s="23">
        <f t="shared" si="3"/>
        <v>255260.6932</v>
      </c>
      <c r="K203" s="23">
        <f t="shared" si="4"/>
        <v>252796.1728</v>
      </c>
      <c r="L203" s="29"/>
      <c r="M203" s="23"/>
    </row>
    <row r="204" ht="15.75" customHeight="1">
      <c r="A204" s="22">
        <v>203.0</v>
      </c>
      <c r="B204" s="22">
        <f t="shared" si="1"/>
        <v>17</v>
      </c>
      <c r="C204" s="23">
        <f>C203*(1+'Parâmetros'!$B$16)</f>
        <v>2584.300865</v>
      </c>
      <c r="D204" s="29">
        <f t="shared" si="6"/>
        <v>2584.300865</v>
      </c>
      <c r="E204" s="23">
        <f t="shared" si="5"/>
        <v>508056.8659</v>
      </c>
      <c r="F204" s="23">
        <f>E204*'Parâmetros'!$B$13</f>
        <v>4051.316795</v>
      </c>
      <c r="G204" s="23">
        <f t="shared" si="2"/>
        <v>514692.4836</v>
      </c>
      <c r="H204" s="23">
        <f>G204/(1+'Parâmetros'!$B$14)^A204</f>
        <v>225473.5054</v>
      </c>
      <c r="I204" s="25">
        <f>H204/'Parâmetros'!$B$7</f>
        <v>0.2254735054</v>
      </c>
      <c r="J204" s="23">
        <f t="shared" si="3"/>
        <v>257844.994</v>
      </c>
      <c r="K204" s="23">
        <f t="shared" si="4"/>
        <v>256847.4895</v>
      </c>
      <c r="L204" s="29"/>
      <c r="M204" s="23"/>
    </row>
    <row r="205" ht="15.75" customHeight="1">
      <c r="A205" s="22">
        <v>204.0</v>
      </c>
      <c r="B205" s="22">
        <f t="shared" si="1"/>
        <v>17</v>
      </c>
      <c r="C205" s="23">
        <f>C204*(1+'Parâmetros'!$B$16)</f>
        <v>2605.401284</v>
      </c>
      <c r="D205" s="29">
        <f t="shared" si="6"/>
        <v>2605.401284</v>
      </c>
      <c r="E205" s="23">
        <f t="shared" si="5"/>
        <v>514692.4836</v>
      </c>
      <c r="F205" s="23">
        <f>E205*'Parâmetros'!$B$13</f>
        <v>4104.230142</v>
      </c>
      <c r="G205" s="23">
        <f t="shared" si="2"/>
        <v>521402.115</v>
      </c>
      <c r="H205" s="23">
        <f>G205/(1+'Parâmetros'!$B$14)^A205</f>
        <v>227486.0157</v>
      </c>
      <c r="I205" s="25">
        <f>H205/'Parâmetros'!$B$7</f>
        <v>0.2274860157</v>
      </c>
      <c r="J205" s="23">
        <f t="shared" si="3"/>
        <v>260450.3953</v>
      </c>
      <c r="K205" s="23">
        <f t="shared" si="4"/>
        <v>260951.7197</v>
      </c>
      <c r="L205" s="29"/>
      <c r="M205" s="23"/>
    </row>
    <row r="206" ht="15.75" customHeight="1">
      <c r="A206" s="30">
        <v>205.0</v>
      </c>
      <c r="B206" s="30">
        <f t="shared" si="1"/>
        <v>18</v>
      </c>
      <c r="C206" s="31">
        <f>C205*(1+'Parâmetros'!$B$16)</f>
        <v>2626.673985</v>
      </c>
      <c r="D206" s="32">
        <f t="shared" si="6"/>
        <v>2626.673985</v>
      </c>
      <c r="E206" s="31">
        <f t="shared" si="5"/>
        <v>521402.115</v>
      </c>
      <c r="F206" s="31">
        <f>E206*'Parâmetros'!$B$13</f>
        <v>4157.733685</v>
      </c>
      <c r="G206" s="31">
        <f t="shared" si="2"/>
        <v>528186.5227</v>
      </c>
      <c r="H206" s="31">
        <f>G206/(1+'Parâmetros'!$B$14)^A206</f>
        <v>229510.9742</v>
      </c>
      <c r="I206" s="33">
        <f>H206/'Parâmetros'!$B$7</f>
        <v>0.2295109742</v>
      </c>
      <c r="J206" s="31">
        <f t="shared" si="3"/>
        <v>263077.0693</v>
      </c>
      <c r="K206" s="31">
        <f t="shared" si="4"/>
        <v>265109.4534</v>
      </c>
      <c r="L206" s="29"/>
      <c r="M206" s="23"/>
    </row>
    <row r="207" ht="15.75" customHeight="1">
      <c r="A207" s="22">
        <v>206.0</v>
      </c>
      <c r="B207" s="22">
        <f t="shared" si="1"/>
        <v>18</v>
      </c>
      <c r="C207" s="23">
        <f>C206*(1+'Parâmetros'!$B$16)</f>
        <v>2648.120373</v>
      </c>
      <c r="D207" s="29">
        <f t="shared" si="6"/>
        <v>2648.120373</v>
      </c>
      <c r="E207" s="23">
        <f t="shared" si="5"/>
        <v>528186.5227</v>
      </c>
      <c r="F207" s="23">
        <f>E207*'Parâmetros'!$B$13</f>
        <v>4211.833504</v>
      </c>
      <c r="G207" s="23">
        <f t="shared" si="2"/>
        <v>535046.4765</v>
      </c>
      <c r="H207" s="23">
        <f>G207/(1+'Parâmetros'!$B$14)^A207</f>
        <v>231548.448</v>
      </c>
      <c r="I207" s="25">
        <f>H207/'Parâmetros'!$B$7</f>
        <v>0.231548448</v>
      </c>
      <c r="J207" s="23">
        <f t="shared" si="3"/>
        <v>265725.1897</v>
      </c>
      <c r="K207" s="23">
        <f t="shared" si="4"/>
        <v>269321.2869</v>
      </c>
      <c r="L207" s="29"/>
      <c r="M207" s="23"/>
    </row>
    <row r="208" ht="15.75" customHeight="1">
      <c r="A208" s="22">
        <v>207.0</v>
      </c>
      <c r="B208" s="22">
        <f t="shared" si="1"/>
        <v>18</v>
      </c>
      <c r="C208" s="23">
        <f>C207*(1+'Parâmetros'!$B$16)</f>
        <v>2669.741868</v>
      </c>
      <c r="D208" s="29">
        <f t="shared" si="6"/>
        <v>2669.741868</v>
      </c>
      <c r="E208" s="23">
        <f t="shared" si="5"/>
        <v>535046.4765</v>
      </c>
      <c r="F208" s="23">
        <f>E208*'Parâmetros'!$B$13</f>
        <v>4266.53574</v>
      </c>
      <c r="G208" s="23">
        <f t="shared" si="2"/>
        <v>541982.7541</v>
      </c>
      <c r="H208" s="23">
        <f>G208/(1+'Parâmetros'!$B$14)^A208</f>
        <v>233598.5048</v>
      </c>
      <c r="I208" s="25">
        <f>H208/'Parâmetros'!$B$7</f>
        <v>0.2335985048</v>
      </c>
      <c r="J208" s="23">
        <f t="shared" si="3"/>
        <v>268394.9315</v>
      </c>
      <c r="K208" s="23">
        <f t="shared" si="4"/>
        <v>273587.8226</v>
      </c>
      <c r="L208" s="29"/>
      <c r="M208" s="23"/>
    </row>
    <row r="209" ht="15.75" customHeight="1">
      <c r="A209" s="22">
        <v>208.0</v>
      </c>
      <c r="B209" s="22">
        <f t="shared" si="1"/>
        <v>18</v>
      </c>
      <c r="C209" s="23">
        <f>C208*(1+'Parâmetros'!$B$16)</f>
        <v>2691.5399</v>
      </c>
      <c r="D209" s="29">
        <f t="shared" si="6"/>
        <v>2691.5399</v>
      </c>
      <c r="E209" s="23">
        <f t="shared" si="5"/>
        <v>541982.7541</v>
      </c>
      <c r="F209" s="23">
        <f>E209*'Parâmetros'!$B$13</f>
        <v>4321.846592</v>
      </c>
      <c r="G209" s="23">
        <f t="shared" si="2"/>
        <v>548996.1406</v>
      </c>
      <c r="H209" s="23">
        <f>G209/(1+'Parâmetros'!$B$14)^A209</f>
        <v>235661.2123</v>
      </c>
      <c r="I209" s="25">
        <f>H209/'Parâmetros'!$B$7</f>
        <v>0.2356612123</v>
      </c>
      <c r="J209" s="23">
        <f t="shared" si="3"/>
        <v>271086.4714</v>
      </c>
      <c r="K209" s="23">
        <f t="shared" si="4"/>
        <v>277909.6692</v>
      </c>
      <c r="L209" s="29"/>
      <c r="M209" s="23"/>
    </row>
    <row r="210" ht="15.75" customHeight="1">
      <c r="A210" s="22">
        <v>209.0</v>
      </c>
      <c r="B210" s="22">
        <f t="shared" si="1"/>
        <v>18</v>
      </c>
      <c r="C210" s="23">
        <f>C209*(1+'Parâmetros'!$B$16)</f>
        <v>2713.515909</v>
      </c>
      <c r="D210" s="29">
        <f t="shared" si="6"/>
        <v>2713.515909</v>
      </c>
      <c r="E210" s="23">
        <f t="shared" si="5"/>
        <v>548996.1406</v>
      </c>
      <c r="F210" s="23">
        <f>E210*'Parâmetros'!$B$13</f>
        <v>4377.77232</v>
      </c>
      <c r="G210" s="23">
        <f t="shared" si="2"/>
        <v>556087.4289</v>
      </c>
      <c r="H210" s="23">
        <f>G210/(1+'Parâmetros'!$B$14)^A210</f>
        <v>237736.639</v>
      </c>
      <c r="I210" s="25">
        <f>H210/'Parâmetros'!$B$7</f>
        <v>0.237736639</v>
      </c>
      <c r="J210" s="23">
        <f t="shared" si="3"/>
        <v>273799.9873</v>
      </c>
      <c r="K210" s="23">
        <f t="shared" si="4"/>
        <v>282287.4415</v>
      </c>
      <c r="L210" s="29"/>
      <c r="M210" s="23"/>
    </row>
    <row r="211" ht="15.75" customHeight="1">
      <c r="A211" s="22">
        <v>210.0</v>
      </c>
      <c r="B211" s="22">
        <f t="shared" si="1"/>
        <v>18</v>
      </c>
      <c r="C211" s="23">
        <f>C210*(1+'Parâmetros'!$B$16)</f>
        <v>2735.671348</v>
      </c>
      <c r="D211" s="29">
        <f t="shared" si="6"/>
        <v>2735.671348</v>
      </c>
      <c r="E211" s="23">
        <f t="shared" si="5"/>
        <v>556087.4289</v>
      </c>
      <c r="F211" s="23">
        <f>E211*'Parâmetros'!$B$13</f>
        <v>4434.319249</v>
      </c>
      <c r="G211" s="23">
        <f t="shared" si="2"/>
        <v>563257.4195</v>
      </c>
      <c r="H211" s="23">
        <f>G211/(1+'Parâmetros'!$B$14)^A211</f>
        <v>239824.8533</v>
      </c>
      <c r="I211" s="25">
        <f>H211/'Parâmetros'!$B$7</f>
        <v>0.2398248533</v>
      </c>
      <c r="J211" s="23">
        <f t="shared" si="3"/>
        <v>276535.6587</v>
      </c>
      <c r="K211" s="23">
        <f t="shared" si="4"/>
        <v>286721.7608</v>
      </c>
      <c r="L211" s="29"/>
      <c r="M211" s="23"/>
    </row>
    <row r="212" ht="15.75" customHeight="1">
      <c r="A212" s="22">
        <v>211.0</v>
      </c>
      <c r="B212" s="22">
        <f t="shared" si="1"/>
        <v>18</v>
      </c>
      <c r="C212" s="23">
        <f>C211*(1+'Parâmetros'!$B$16)</f>
        <v>2758.007684</v>
      </c>
      <c r="D212" s="29">
        <f t="shared" si="6"/>
        <v>2758.007684</v>
      </c>
      <c r="E212" s="23">
        <f t="shared" si="5"/>
        <v>563257.4195</v>
      </c>
      <c r="F212" s="23">
        <f>E212*'Parâmetros'!$B$13</f>
        <v>4491.49376</v>
      </c>
      <c r="G212" s="23">
        <f t="shared" si="2"/>
        <v>570506.9209</v>
      </c>
      <c r="H212" s="23">
        <f>G212/(1+'Parâmetros'!$B$14)^A212</f>
        <v>241925.9241</v>
      </c>
      <c r="I212" s="25">
        <f>H212/'Parâmetros'!$B$7</f>
        <v>0.2419259241</v>
      </c>
      <c r="J212" s="23">
        <f t="shared" si="3"/>
        <v>279293.6664</v>
      </c>
      <c r="K212" s="23">
        <f t="shared" si="4"/>
        <v>291213.2545</v>
      </c>
      <c r="L212" s="29"/>
      <c r="M212" s="23"/>
    </row>
    <row r="213" ht="15.75" customHeight="1">
      <c r="A213" s="22">
        <v>212.0</v>
      </c>
      <c r="B213" s="22">
        <f t="shared" si="1"/>
        <v>18</v>
      </c>
      <c r="C213" s="23">
        <f>C212*(1+'Parâmetros'!$B$16)</f>
        <v>2780.526392</v>
      </c>
      <c r="D213" s="29">
        <f t="shared" si="6"/>
        <v>2780.526392</v>
      </c>
      <c r="E213" s="23">
        <f t="shared" si="5"/>
        <v>570506.9209</v>
      </c>
      <c r="F213" s="23">
        <f>E213*'Parâmetros'!$B$13</f>
        <v>4549.302303</v>
      </c>
      <c r="G213" s="23">
        <f t="shared" si="2"/>
        <v>577836.7496</v>
      </c>
      <c r="H213" s="23">
        <f>G213/(1+'Parâmetros'!$B$14)^A213</f>
        <v>244039.9208</v>
      </c>
      <c r="I213" s="25">
        <f>H213/'Parâmetros'!$B$7</f>
        <v>0.2440399208</v>
      </c>
      <c r="J213" s="23">
        <f t="shared" si="3"/>
        <v>282074.1928</v>
      </c>
      <c r="K213" s="23">
        <f t="shared" si="4"/>
        <v>295762.5568</v>
      </c>
      <c r="L213" s="29"/>
      <c r="M213" s="23"/>
    </row>
    <row r="214" ht="15.75" customHeight="1">
      <c r="A214" s="22">
        <v>213.0</v>
      </c>
      <c r="B214" s="22">
        <f t="shared" si="1"/>
        <v>18</v>
      </c>
      <c r="C214" s="23">
        <f>C213*(1+'Parâmetros'!$B$16)</f>
        <v>2803.228962</v>
      </c>
      <c r="D214" s="29">
        <f t="shared" si="6"/>
        <v>2803.228962</v>
      </c>
      <c r="E214" s="23">
        <f t="shared" si="5"/>
        <v>577836.7496</v>
      </c>
      <c r="F214" s="23">
        <f>E214*'Parâmetros'!$B$13</f>
        <v>4607.751386</v>
      </c>
      <c r="G214" s="23">
        <f t="shared" si="2"/>
        <v>585247.73</v>
      </c>
      <c r="H214" s="23">
        <f>G214/(1+'Parâmetros'!$B$14)^A214</f>
        <v>246166.9129</v>
      </c>
      <c r="I214" s="25">
        <f>H214/'Parâmetros'!$B$7</f>
        <v>0.2461669129</v>
      </c>
      <c r="J214" s="23">
        <f t="shared" si="3"/>
        <v>284877.4217</v>
      </c>
      <c r="K214" s="23">
        <f t="shared" si="4"/>
        <v>300370.3082</v>
      </c>
      <c r="L214" s="29"/>
      <c r="M214" s="23"/>
    </row>
    <row r="215" ht="15.75" customHeight="1">
      <c r="A215" s="22">
        <v>214.0</v>
      </c>
      <c r="B215" s="22">
        <f t="shared" si="1"/>
        <v>18</v>
      </c>
      <c r="C215" s="23">
        <f>C214*(1+'Parâmetros'!$B$16)</f>
        <v>2826.116895</v>
      </c>
      <c r="D215" s="29">
        <f t="shared" si="6"/>
        <v>2826.116895</v>
      </c>
      <c r="E215" s="23">
        <f t="shared" si="5"/>
        <v>585247.73</v>
      </c>
      <c r="F215" s="23">
        <f>E215*'Parâmetros'!$B$13</f>
        <v>4666.847584</v>
      </c>
      <c r="G215" s="23">
        <f t="shared" si="2"/>
        <v>592740.6944</v>
      </c>
      <c r="H215" s="23">
        <f>G215/(1+'Parâmetros'!$B$14)^A215</f>
        <v>248306.9705</v>
      </c>
      <c r="I215" s="25">
        <f>H215/'Parâmetros'!$B$7</f>
        <v>0.2483069705</v>
      </c>
      <c r="J215" s="23">
        <f t="shared" si="3"/>
        <v>287703.5386</v>
      </c>
      <c r="K215" s="23">
        <f t="shared" si="4"/>
        <v>305037.1558</v>
      </c>
      <c r="L215" s="29"/>
      <c r="M215" s="23"/>
    </row>
    <row r="216" ht="15.75" customHeight="1">
      <c r="A216" s="30">
        <v>215.0</v>
      </c>
      <c r="B216" s="30">
        <f t="shared" si="1"/>
        <v>18</v>
      </c>
      <c r="C216" s="31">
        <f>C215*(1+'Parâmetros'!$B$16)</f>
        <v>2849.191704</v>
      </c>
      <c r="D216" s="32">
        <f t="shared" si="6"/>
        <v>2849.191704</v>
      </c>
      <c r="E216" s="31">
        <f t="shared" si="5"/>
        <v>592740.6944</v>
      </c>
      <c r="F216" s="31">
        <f>E216*'Parâmetros'!$B$13</f>
        <v>4726.597535</v>
      </c>
      <c r="G216" s="31">
        <f t="shared" si="2"/>
        <v>600316.4837</v>
      </c>
      <c r="H216" s="31">
        <f>G216/(1+'Parâmetros'!$B$14)^A216</f>
        <v>250460.1637</v>
      </c>
      <c r="I216" s="33">
        <f>H216/'Parâmetros'!$B$7</f>
        <v>0.2504601637</v>
      </c>
      <c r="J216" s="31">
        <f t="shared" si="3"/>
        <v>290552.7303</v>
      </c>
      <c r="K216" s="31">
        <f t="shared" si="4"/>
        <v>309763.7533</v>
      </c>
      <c r="L216" s="29"/>
      <c r="M216" s="23"/>
    </row>
    <row r="217" ht="15.75" customHeight="1">
      <c r="A217" s="22">
        <v>216.0</v>
      </c>
      <c r="B217" s="22">
        <f t="shared" si="1"/>
        <v>18</v>
      </c>
      <c r="C217" s="23">
        <f>C216*(1+'Parâmetros'!$B$16)</f>
        <v>2872.454916</v>
      </c>
      <c r="D217" s="29">
        <f t="shared" si="6"/>
        <v>2872.454916</v>
      </c>
      <c r="E217" s="23">
        <f t="shared" si="5"/>
        <v>600316.4837</v>
      </c>
      <c r="F217" s="23">
        <f>E217*'Parâmetros'!$B$13</f>
        <v>4787.007943</v>
      </c>
      <c r="G217" s="23">
        <f t="shared" si="2"/>
        <v>607975.9465</v>
      </c>
      <c r="H217" s="23">
        <f>G217/(1+'Parâmetros'!$B$14)^A217</f>
        <v>252626.5634</v>
      </c>
      <c r="I217" s="25">
        <f>H217/'Parâmetros'!$B$7</f>
        <v>0.2526265634</v>
      </c>
      <c r="J217" s="23">
        <f t="shared" si="3"/>
        <v>293425.1852</v>
      </c>
      <c r="K217" s="23">
        <f t="shared" si="4"/>
        <v>314550.7613</v>
      </c>
      <c r="L217" s="29"/>
      <c r="M217" s="23"/>
    </row>
    <row r="218" ht="15.75" customHeight="1">
      <c r="A218" s="22">
        <v>217.0</v>
      </c>
      <c r="B218" s="22">
        <f t="shared" si="1"/>
        <v>19</v>
      </c>
      <c r="C218" s="23">
        <f>C217*(1+'Parâmetros'!$B$16)</f>
        <v>2895.908068</v>
      </c>
      <c r="D218" s="29">
        <f t="shared" si="6"/>
        <v>2895.908068</v>
      </c>
      <c r="E218" s="23">
        <f t="shared" si="5"/>
        <v>607975.9465</v>
      </c>
      <c r="F218" s="23">
        <f>E218*'Parâmetros'!$B$13</f>
        <v>4848.085575</v>
      </c>
      <c r="G218" s="23">
        <f t="shared" si="2"/>
        <v>615719.9402</v>
      </c>
      <c r="H218" s="23">
        <f>G218/(1+'Parâmetros'!$B$14)^A218</f>
        <v>254806.2406</v>
      </c>
      <c r="I218" s="25">
        <f>H218/'Parâmetros'!$B$7</f>
        <v>0.2548062406</v>
      </c>
      <c r="J218" s="23">
        <f t="shared" si="3"/>
        <v>296321.0933</v>
      </c>
      <c r="K218" s="23">
        <f t="shared" si="4"/>
        <v>319398.8469</v>
      </c>
      <c r="L218" s="29"/>
      <c r="M218" s="23"/>
    </row>
    <row r="219" ht="15.75" customHeight="1">
      <c r="A219" s="22">
        <v>218.0</v>
      </c>
      <c r="B219" s="22">
        <f t="shared" si="1"/>
        <v>19</v>
      </c>
      <c r="C219" s="23">
        <f>C218*(1+'Parâmetros'!$B$16)</f>
        <v>2919.552712</v>
      </c>
      <c r="D219" s="29">
        <f t="shared" si="6"/>
        <v>2919.552712</v>
      </c>
      <c r="E219" s="23">
        <f t="shared" si="5"/>
        <v>615719.9402</v>
      </c>
      <c r="F219" s="23">
        <f>E219*'Parâmetros'!$B$13</f>
        <v>4909.837268</v>
      </c>
      <c r="G219" s="23">
        <f t="shared" si="2"/>
        <v>623549.3302</v>
      </c>
      <c r="H219" s="23">
        <f>G219/(1+'Parâmetros'!$B$14)^A219</f>
        <v>256999.2666</v>
      </c>
      <c r="I219" s="25">
        <f>H219/'Parâmetros'!$B$7</f>
        <v>0.2569992666</v>
      </c>
      <c r="J219" s="23">
        <f t="shared" si="3"/>
        <v>299240.646</v>
      </c>
      <c r="K219" s="23">
        <f t="shared" si="4"/>
        <v>324308.6841</v>
      </c>
      <c r="L219" s="29"/>
      <c r="M219" s="23"/>
    </row>
    <row r="220" ht="15.75" customHeight="1">
      <c r="A220" s="22">
        <v>219.0</v>
      </c>
      <c r="B220" s="22">
        <f t="shared" si="1"/>
        <v>19</v>
      </c>
      <c r="C220" s="23">
        <f>C219*(1+'Parâmetros'!$B$16)</f>
        <v>2943.39041</v>
      </c>
      <c r="D220" s="29">
        <f t="shared" si="6"/>
        <v>2943.39041</v>
      </c>
      <c r="E220" s="23">
        <f t="shared" si="5"/>
        <v>623549.3302</v>
      </c>
      <c r="F220" s="23">
        <f>E220*'Parâmetros'!$B$13</f>
        <v>4972.269923</v>
      </c>
      <c r="G220" s="23">
        <f t="shared" si="2"/>
        <v>631464.9905</v>
      </c>
      <c r="H220" s="23">
        <f>G220/(1+'Parâmetros'!$B$14)^A220</f>
        <v>259205.7131</v>
      </c>
      <c r="I220" s="25">
        <f>H220/'Parâmetros'!$B$7</f>
        <v>0.2592057131</v>
      </c>
      <c r="J220" s="23">
        <f t="shared" si="3"/>
        <v>302184.0364</v>
      </c>
      <c r="K220" s="23">
        <f t="shared" si="4"/>
        <v>329280.9541</v>
      </c>
      <c r="L220" s="29"/>
      <c r="M220" s="23"/>
    </row>
    <row r="221" ht="15.75" customHeight="1">
      <c r="A221" s="22">
        <v>220.0</v>
      </c>
      <c r="B221" s="22">
        <f t="shared" si="1"/>
        <v>19</v>
      </c>
      <c r="C221" s="23">
        <f>C220*(1+'Parâmetros'!$B$16)</f>
        <v>2967.42274</v>
      </c>
      <c r="D221" s="29">
        <f t="shared" si="6"/>
        <v>2967.42274</v>
      </c>
      <c r="E221" s="23">
        <f t="shared" si="5"/>
        <v>631464.9905</v>
      </c>
      <c r="F221" s="23">
        <f>E221*'Parâmetros'!$B$13</f>
        <v>5035.39051</v>
      </c>
      <c r="G221" s="23">
        <f t="shared" si="2"/>
        <v>639467.8037</v>
      </c>
      <c r="H221" s="23">
        <f>G221/(1+'Parâmetros'!$B$14)^A221</f>
        <v>261425.6523</v>
      </c>
      <c r="I221" s="25">
        <f>H221/'Parâmetros'!$B$7</f>
        <v>0.2614256523</v>
      </c>
      <c r="J221" s="23">
        <f t="shared" si="3"/>
        <v>305151.4592</v>
      </c>
      <c r="K221" s="23">
        <f t="shared" si="4"/>
        <v>334316.3446</v>
      </c>
      <c r="L221" s="29"/>
      <c r="M221" s="23"/>
    </row>
    <row r="222" ht="15.75" customHeight="1">
      <c r="A222" s="22">
        <v>221.0</v>
      </c>
      <c r="B222" s="22">
        <f t="shared" si="1"/>
        <v>19</v>
      </c>
      <c r="C222" s="23">
        <f>C221*(1+'Parâmetros'!$B$16)</f>
        <v>2991.651289</v>
      </c>
      <c r="D222" s="29">
        <f t="shared" si="6"/>
        <v>2991.651289</v>
      </c>
      <c r="E222" s="23">
        <f t="shared" si="5"/>
        <v>639467.8037</v>
      </c>
      <c r="F222" s="23">
        <f>E222*'Parâmetros'!$B$13</f>
        <v>5099.206067</v>
      </c>
      <c r="G222" s="23">
        <f t="shared" si="2"/>
        <v>647558.6611</v>
      </c>
      <c r="H222" s="23">
        <f>G222/(1+'Parâmetros'!$B$14)^A222</f>
        <v>263659.1566</v>
      </c>
      <c r="I222" s="25">
        <f>H222/'Parâmetros'!$B$7</f>
        <v>0.2636591566</v>
      </c>
      <c r="J222" s="23">
        <f t="shared" si="3"/>
        <v>308143.1105</v>
      </c>
      <c r="K222" s="23">
        <f t="shared" si="4"/>
        <v>339415.5506</v>
      </c>
      <c r="L222" s="29"/>
      <c r="M222" s="23"/>
    </row>
    <row r="223" ht="15.75" customHeight="1">
      <c r="A223" s="22">
        <v>222.0</v>
      </c>
      <c r="B223" s="22">
        <f t="shared" si="1"/>
        <v>19</v>
      </c>
      <c r="C223" s="23">
        <f>C222*(1+'Parâmetros'!$B$16)</f>
        <v>3016.077662</v>
      </c>
      <c r="D223" s="29">
        <f t="shared" si="6"/>
        <v>3016.077662</v>
      </c>
      <c r="E223" s="23">
        <f t="shared" si="5"/>
        <v>647558.6611</v>
      </c>
      <c r="F223" s="23">
        <f>E223*'Parâmetros'!$B$13</f>
        <v>5163.723699</v>
      </c>
      <c r="G223" s="23">
        <f t="shared" si="2"/>
        <v>655738.4625</v>
      </c>
      <c r="H223" s="23">
        <f>G223/(1+'Parâmetros'!$B$14)^A223</f>
        <v>265906.2989</v>
      </c>
      <c r="I223" s="25">
        <f>H223/'Parâmetros'!$B$7</f>
        <v>0.2659062989</v>
      </c>
      <c r="J223" s="23">
        <f t="shared" si="3"/>
        <v>311159.1881</v>
      </c>
      <c r="K223" s="23">
        <f t="shared" si="4"/>
        <v>344579.2743</v>
      </c>
      <c r="L223" s="29"/>
      <c r="M223" s="23"/>
    </row>
    <row r="224" ht="15.75" customHeight="1">
      <c r="A224" s="22">
        <v>223.0</v>
      </c>
      <c r="B224" s="22">
        <f t="shared" si="1"/>
        <v>19</v>
      </c>
      <c r="C224" s="23">
        <f>C223*(1+'Parâmetros'!$B$16)</f>
        <v>3040.703471</v>
      </c>
      <c r="D224" s="29">
        <f t="shared" si="6"/>
        <v>3040.703471</v>
      </c>
      <c r="E224" s="23">
        <f t="shared" si="5"/>
        <v>655738.4625</v>
      </c>
      <c r="F224" s="23">
        <f>E224*'Parâmetros'!$B$13</f>
        <v>5228.950584</v>
      </c>
      <c r="G224" s="23">
        <f t="shared" si="2"/>
        <v>664008.1165</v>
      </c>
      <c r="H224" s="23">
        <f>G224/(1+'Parâmetros'!$B$14)^A224</f>
        <v>268167.1524</v>
      </c>
      <c r="I224" s="25">
        <f>H224/'Parâmetros'!$B$7</f>
        <v>0.2681671524</v>
      </c>
      <c r="J224" s="23">
        <f t="shared" si="3"/>
        <v>314199.8916</v>
      </c>
      <c r="K224" s="23">
        <f t="shared" si="4"/>
        <v>349808.2249</v>
      </c>
      <c r="L224" s="29"/>
      <c r="M224" s="23"/>
    </row>
    <row r="225" ht="15.75" customHeight="1">
      <c r="A225" s="22">
        <v>224.0</v>
      </c>
      <c r="B225" s="22">
        <f t="shared" si="1"/>
        <v>19</v>
      </c>
      <c r="C225" s="23">
        <f>C224*(1+'Parâmetros'!$B$16)</f>
        <v>3065.530347</v>
      </c>
      <c r="D225" s="29">
        <f t="shared" si="6"/>
        <v>3065.530347</v>
      </c>
      <c r="E225" s="23">
        <f t="shared" si="5"/>
        <v>664008.1165</v>
      </c>
      <c r="F225" s="23">
        <f>E225*'Parâmetros'!$B$13</f>
        <v>5294.893967</v>
      </c>
      <c r="G225" s="23">
        <f t="shared" si="2"/>
        <v>672368.5408</v>
      </c>
      <c r="H225" s="23">
        <f>G225/(1+'Parâmetros'!$B$14)^A225</f>
        <v>270441.7905</v>
      </c>
      <c r="I225" s="25">
        <f>H225/'Parâmetros'!$B$7</f>
        <v>0.2704417905</v>
      </c>
      <c r="J225" s="23">
        <f t="shared" si="3"/>
        <v>317265.4219</v>
      </c>
      <c r="K225" s="23">
        <f t="shared" si="4"/>
        <v>355103.1189</v>
      </c>
      <c r="L225" s="29"/>
      <c r="M225" s="23"/>
    </row>
    <row r="226" ht="15.75" customHeight="1">
      <c r="A226" s="22">
        <v>225.0</v>
      </c>
      <c r="B226" s="22">
        <f t="shared" si="1"/>
        <v>19</v>
      </c>
      <c r="C226" s="23">
        <f>C225*(1+'Parâmetros'!$B$16)</f>
        <v>3090.55993</v>
      </c>
      <c r="D226" s="29">
        <f t="shared" si="6"/>
        <v>3090.55993</v>
      </c>
      <c r="E226" s="23">
        <f t="shared" si="5"/>
        <v>672368.5408</v>
      </c>
      <c r="F226" s="23">
        <f>E226*'Parâmetros'!$B$13</f>
        <v>5361.561164</v>
      </c>
      <c r="G226" s="23">
        <f t="shared" si="2"/>
        <v>680820.6619</v>
      </c>
      <c r="H226" s="23">
        <f>G226/(1+'Parâmetros'!$B$14)^A226</f>
        <v>272730.2873</v>
      </c>
      <c r="I226" s="25">
        <f>H226/'Parâmetros'!$B$7</f>
        <v>0.2727302873</v>
      </c>
      <c r="J226" s="23">
        <f t="shared" si="3"/>
        <v>320355.9819</v>
      </c>
      <c r="K226" s="23">
        <f t="shared" si="4"/>
        <v>360464.68</v>
      </c>
      <c r="L226" s="29"/>
      <c r="M226" s="23"/>
    </row>
    <row r="227" ht="15.75" customHeight="1">
      <c r="A227" s="22">
        <v>226.0</v>
      </c>
      <c r="B227" s="22">
        <f t="shared" si="1"/>
        <v>19</v>
      </c>
      <c r="C227" s="23">
        <f>C226*(1+'Parâmetros'!$B$16)</f>
        <v>3115.793877</v>
      </c>
      <c r="D227" s="29">
        <f t="shared" si="6"/>
        <v>3115.793877</v>
      </c>
      <c r="E227" s="23">
        <f t="shared" si="5"/>
        <v>680820.6619</v>
      </c>
      <c r="F227" s="23">
        <f>E227*'Parâmetros'!$B$13</f>
        <v>5428.959565</v>
      </c>
      <c r="G227" s="23">
        <f t="shared" si="2"/>
        <v>689365.4154</v>
      </c>
      <c r="H227" s="23">
        <f>G227/(1+'Parâmetros'!$B$14)^A227</f>
        <v>275032.717</v>
      </c>
      <c r="I227" s="25">
        <f>H227/'Parâmetros'!$B$7</f>
        <v>0.275032717</v>
      </c>
      <c r="J227" s="23">
        <f t="shared" si="3"/>
        <v>323471.7757</v>
      </c>
      <c r="K227" s="23">
        <f t="shared" si="4"/>
        <v>365893.6396</v>
      </c>
      <c r="L227" s="29"/>
      <c r="M227" s="23"/>
    </row>
    <row r="228" ht="15.75" customHeight="1">
      <c r="A228" s="22">
        <v>227.0</v>
      </c>
      <c r="B228" s="22">
        <f t="shared" si="1"/>
        <v>19</v>
      </c>
      <c r="C228" s="23">
        <f>C227*(1+'Parâmetros'!$B$16)</f>
        <v>3141.233854</v>
      </c>
      <c r="D228" s="29">
        <f t="shared" si="6"/>
        <v>3141.233854</v>
      </c>
      <c r="E228" s="23">
        <f t="shared" si="5"/>
        <v>689365.4154</v>
      </c>
      <c r="F228" s="23">
        <f>E228*'Parâmetros'!$B$13</f>
        <v>5497.096629</v>
      </c>
      <c r="G228" s="23">
        <f t="shared" si="2"/>
        <v>698003.7458</v>
      </c>
      <c r="H228" s="23">
        <f>G228/(1+'Parâmetros'!$B$14)^A228</f>
        <v>277349.1542</v>
      </c>
      <c r="I228" s="25">
        <f>H228/'Parâmetros'!$B$7</f>
        <v>0.2773491542</v>
      </c>
      <c r="J228" s="23">
        <f t="shared" si="3"/>
        <v>326613.0096</v>
      </c>
      <c r="K228" s="23">
        <f t="shared" si="4"/>
        <v>371390.7362</v>
      </c>
      <c r="L228" s="29"/>
      <c r="M228" s="23"/>
    </row>
    <row r="229" ht="15.75" customHeight="1">
      <c r="A229" s="22">
        <v>228.0</v>
      </c>
      <c r="B229" s="22">
        <f t="shared" si="1"/>
        <v>19</v>
      </c>
      <c r="C229" s="23">
        <f>C228*(1+'Parâmetros'!$B$16)</f>
        <v>3166.881545</v>
      </c>
      <c r="D229" s="29">
        <f t="shared" si="6"/>
        <v>3166.881545</v>
      </c>
      <c r="E229" s="23">
        <f t="shared" si="5"/>
        <v>698003.7458</v>
      </c>
      <c r="F229" s="23">
        <f>E229*'Parâmetros'!$B$13</f>
        <v>5565.979889</v>
      </c>
      <c r="G229" s="23">
        <f t="shared" si="2"/>
        <v>706736.6073</v>
      </c>
      <c r="H229" s="23">
        <f>G229/(1+'Parâmetros'!$B$14)^A229</f>
        <v>279679.6742</v>
      </c>
      <c r="I229" s="25">
        <f>H229/'Parâmetros'!$B$7</f>
        <v>0.2796796742</v>
      </c>
      <c r="J229" s="23">
        <f t="shared" si="3"/>
        <v>329779.8911</v>
      </c>
      <c r="K229" s="23">
        <f t="shared" si="4"/>
        <v>376956.7161</v>
      </c>
      <c r="L229" s="29"/>
      <c r="M229" s="23"/>
    </row>
    <row r="230" ht="15.75" customHeight="1">
      <c r="A230" s="22">
        <v>229.0</v>
      </c>
      <c r="B230" s="22">
        <f t="shared" si="1"/>
        <v>20</v>
      </c>
      <c r="C230" s="23">
        <f>C229*(1+'Parâmetros'!$B$16)</f>
        <v>3192.738645</v>
      </c>
      <c r="D230" s="29">
        <f t="shared" si="6"/>
        <v>3192.738645</v>
      </c>
      <c r="E230" s="23">
        <f t="shared" si="5"/>
        <v>706736.6073</v>
      </c>
      <c r="F230" s="23">
        <f>E230*'Parâmetros'!$B$13</f>
        <v>5635.616953</v>
      </c>
      <c r="G230" s="23">
        <f t="shared" si="2"/>
        <v>715564.9629</v>
      </c>
      <c r="H230" s="23">
        <f>G230/(1+'Parâmetros'!$B$14)^A230</f>
        <v>282024.3521</v>
      </c>
      <c r="I230" s="25">
        <f>H230/'Parâmetros'!$B$7</f>
        <v>0.2820243521</v>
      </c>
      <c r="J230" s="23">
        <f t="shared" si="3"/>
        <v>332972.6298</v>
      </c>
      <c r="K230" s="23">
        <f t="shared" si="4"/>
        <v>382592.3331</v>
      </c>
      <c r="L230" s="29"/>
      <c r="M230" s="23"/>
    </row>
    <row r="231" ht="15.75" customHeight="1">
      <c r="A231" s="22">
        <v>230.0</v>
      </c>
      <c r="B231" s="22">
        <f t="shared" si="1"/>
        <v>20</v>
      </c>
      <c r="C231" s="23">
        <f>C230*(1+'Parâmetros'!$B$16)</f>
        <v>3218.806864</v>
      </c>
      <c r="D231" s="29">
        <f t="shared" si="6"/>
        <v>3218.806864</v>
      </c>
      <c r="E231" s="23">
        <f t="shared" si="5"/>
        <v>715564.9629</v>
      </c>
      <c r="F231" s="23">
        <f>E231*'Parâmetros'!$B$13</f>
        <v>5706.0155</v>
      </c>
      <c r="G231" s="23">
        <f t="shared" si="2"/>
        <v>724489.7852</v>
      </c>
      <c r="H231" s="23">
        <f>G231/(1+'Parâmetros'!$B$14)^A231</f>
        <v>284383.264</v>
      </c>
      <c r="I231" s="25">
        <f>H231/'Parâmetros'!$B$7</f>
        <v>0.284383264</v>
      </c>
      <c r="J231" s="23">
        <f t="shared" si="3"/>
        <v>336191.4366</v>
      </c>
      <c r="K231" s="23">
        <f t="shared" si="4"/>
        <v>388298.3486</v>
      </c>
      <c r="L231" s="29"/>
      <c r="M231" s="23"/>
    </row>
    <row r="232" ht="15.75" customHeight="1">
      <c r="A232" s="22">
        <v>231.0</v>
      </c>
      <c r="B232" s="22">
        <f t="shared" si="1"/>
        <v>20</v>
      </c>
      <c r="C232" s="23">
        <f>C231*(1+'Parâmetros'!$B$16)</f>
        <v>3245.087927</v>
      </c>
      <c r="D232" s="29">
        <f t="shared" si="6"/>
        <v>3245.087927</v>
      </c>
      <c r="E232" s="23">
        <f t="shared" si="5"/>
        <v>724489.7852</v>
      </c>
      <c r="F232" s="23">
        <f>E232*'Parâmetros'!$B$13</f>
        <v>5777.183287</v>
      </c>
      <c r="G232" s="23">
        <f t="shared" si="2"/>
        <v>733512.0564</v>
      </c>
      <c r="H232" s="23">
        <f>G232/(1+'Parâmetros'!$B$14)^A232</f>
        <v>286756.4858</v>
      </c>
      <c r="I232" s="25">
        <f>H232/'Parâmetros'!$B$7</f>
        <v>0.2867564858</v>
      </c>
      <c r="J232" s="23">
        <f t="shared" si="3"/>
        <v>339436.5246</v>
      </c>
      <c r="K232" s="23">
        <f t="shared" si="4"/>
        <v>394075.5319</v>
      </c>
      <c r="L232" s="29"/>
      <c r="M232" s="23"/>
    </row>
    <row r="233" ht="15.75" customHeight="1">
      <c r="A233" s="22">
        <v>232.0</v>
      </c>
      <c r="B233" s="22">
        <f t="shared" si="1"/>
        <v>20</v>
      </c>
      <c r="C233" s="23">
        <f>C232*(1+'Parâmetros'!$B$16)</f>
        <v>3271.58357</v>
      </c>
      <c r="D233" s="29">
        <f t="shared" si="6"/>
        <v>3271.58357</v>
      </c>
      <c r="E233" s="23">
        <f t="shared" si="5"/>
        <v>733512.0564</v>
      </c>
      <c r="F233" s="23">
        <f>E233*'Parâmetros'!$B$13</f>
        <v>5849.128144</v>
      </c>
      <c r="G233" s="23">
        <f t="shared" si="2"/>
        <v>742632.7682</v>
      </c>
      <c r="H233" s="23">
        <f>G233/(1+'Parâmetros'!$B$14)^A233</f>
        <v>289144.0942</v>
      </c>
      <c r="I233" s="25">
        <f>H233/'Parâmetros'!$B$7</f>
        <v>0.2891440942</v>
      </c>
      <c r="J233" s="23">
        <f t="shared" si="3"/>
        <v>342708.1081</v>
      </c>
      <c r="K233" s="23">
        <f t="shared" si="4"/>
        <v>399924.66</v>
      </c>
      <c r="L233" s="29"/>
      <c r="M233" s="23"/>
    </row>
    <row r="234" ht="15.75" customHeight="1">
      <c r="A234" s="22">
        <v>233.0</v>
      </c>
      <c r="B234" s="22">
        <f t="shared" si="1"/>
        <v>20</v>
      </c>
      <c r="C234" s="23">
        <f>C233*(1+'Parâmetros'!$B$16)</f>
        <v>3298.295547</v>
      </c>
      <c r="D234" s="29">
        <f t="shared" si="6"/>
        <v>3298.295547</v>
      </c>
      <c r="E234" s="23">
        <f t="shared" si="5"/>
        <v>742632.7682</v>
      </c>
      <c r="F234" s="23">
        <f>E234*'Parâmetros'!$B$13</f>
        <v>5921.85798</v>
      </c>
      <c r="G234" s="23">
        <f t="shared" si="2"/>
        <v>751852.9217</v>
      </c>
      <c r="H234" s="23">
        <f>G234/(1+'Parâmetros'!$B$14)^A234</f>
        <v>291546.1661</v>
      </c>
      <c r="I234" s="25">
        <f>H234/'Parâmetros'!$B$7</f>
        <v>0.2915461661</v>
      </c>
      <c r="J234" s="23">
        <f t="shared" si="3"/>
        <v>346006.4037</v>
      </c>
      <c r="K234" s="23">
        <f t="shared" si="4"/>
        <v>405846.518</v>
      </c>
      <c r="L234" s="29"/>
      <c r="M234" s="23"/>
    </row>
    <row r="235" ht="15.75" customHeight="1">
      <c r="A235" s="22">
        <v>234.0</v>
      </c>
      <c r="B235" s="22">
        <f t="shared" si="1"/>
        <v>20</v>
      </c>
      <c r="C235" s="23">
        <f>C234*(1+'Parâmetros'!$B$16)</f>
        <v>3325.225622</v>
      </c>
      <c r="D235" s="29">
        <f t="shared" si="6"/>
        <v>3325.225622</v>
      </c>
      <c r="E235" s="23">
        <f t="shared" si="5"/>
        <v>751852.9217</v>
      </c>
      <c r="F235" s="23">
        <f>E235*'Parâmetros'!$B$13</f>
        <v>5995.380779</v>
      </c>
      <c r="G235" s="23">
        <f t="shared" si="2"/>
        <v>761173.5281</v>
      </c>
      <c r="H235" s="23">
        <f>G235/(1+'Parâmetros'!$B$14)^A235</f>
        <v>293962.7789</v>
      </c>
      <c r="I235" s="25">
        <f>H235/'Parâmetros'!$B$7</f>
        <v>0.2939627789</v>
      </c>
      <c r="J235" s="23">
        <f t="shared" si="3"/>
        <v>349331.6293</v>
      </c>
      <c r="K235" s="23">
        <f t="shared" si="4"/>
        <v>411841.8988</v>
      </c>
      <c r="L235" s="29"/>
      <c r="M235" s="23"/>
    </row>
    <row r="236" ht="15.75" customHeight="1">
      <c r="A236" s="22">
        <v>235.0</v>
      </c>
      <c r="B236" s="22">
        <f t="shared" si="1"/>
        <v>20</v>
      </c>
      <c r="C236" s="23">
        <f>C235*(1+'Parâmetros'!$B$16)</f>
        <v>3352.375577</v>
      </c>
      <c r="D236" s="29">
        <f t="shared" si="6"/>
        <v>3352.375577</v>
      </c>
      <c r="E236" s="23">
        <f t="shared" si="5"/>
        <v>761173.5281</v>
      </c>
      <c r="F236" s="23">
        <f>E236*'Parâmetros'!$B$13</f>
        <v>6069.704604</v>
      </c>
      <c r="G236" s="23">
        <f t="shared" si="2"/>
        <v>770595.6083</v>
      </c>
      <c r="H236" s="23">
        <f>G236/(1+'Parâmetros'!$B$14)^A236</f>
        <v>296394.0102</v>
      </c>
      <c r="I236" s="25">
        <f>H236/'Parâmetros'!$B$7</f>
        <v>0.2963940102</v>
      </c>
      <c r="J236" s="23">
        <f t="shared" si="3"/>
        <v>352684.0049</v>
      </c>
      <c r="K236" s="23">
        <f t="shared" si="4"/>
        <v>417911.6034</v>
      </c>
      <c r="L236" s="29"/>
      <c r="M236" s="23"/>
    </row>
    <row r="237" ht="15.75" customHeight="1">
      <c r="A237" s="22">
        <v>236.0</v>
      </c>
      <c r="B237" s="22">
        <f t="shared" si="1"/>
        <v>20</v>
      </c>
      <c r="C237" s="23">
        <f>C236*(1+'Parâmetros'!$B$16)</f>
        <v>3379.747208</v>
      </c>
      <c r="D237" s="29">
        <f t="shared" si="6"/>
        <v>3379.747208</v>
      </c>
      <c r="E237" s="23">
        <f t="shared" si="5"/>
        <v>770595.6083</v>
      </c>
      <c r="F237" s="23">
        <f>E237*'Parâmetros'!$B$13</f>
        <v>6144.837594</v>
      </c>
      <c r="G237" s="23">
        <f t="shared" si="2"/>
        <v>780120.1931</v>
      </c>
      <c r="H237" s="23">
        <f>G237/(1+'Parâmetros'!$B$14)^A237</f>
        <v>298839.9382</v>
      </c>
      <c r="I237" s="25">
        <f>H237/'Parâmetros'!$B$7</f>
        <v>0.2988399382</v>
      </c>
      <c r="J237" s="23">
        <f t="shared" si="3"/>
        <v>356063.7521</v>
      </c>
      <c r="K237" s="23">
        <f t="shared" si="4"/>
        <v>424056.441</v>
      </c>
      <c r="L237" s="29"/>
      <c r="M237" s="23"/>
    </row>
    <row r="238" ht="15.75" customHeight="1">
      <c r="A238" s="22">
        <v>237.0</v>
      </c>
      <c r="B238" s="22">
        <f t="shared" si="1"/>
        <v>20</v>
      </c>
      <c r="C238" s="23">
        <f>C237*(1+'Parâmetros'!$B$16)</f>
        <v>3407.342323</v>
      </c>
      <c r="D238" s="29">
        <f t="shared" si="6"/>
        <v>3407.342323</v>
      </c>
      <c r="E238" s="23">
        <f t="shared" si="5"/>
        <v>780120.1931</v>
      </c>
      <c r="F238" s="23">
        <f>E238*'Parâmetros'!$B$13</f>
        <v>6220.787971</v>
      </c>
      <c r="G238" s="23">
        <f t="shared" si="2"/>
        <v>789748.3234</v>
      </c>
      <c r="H238" s="23">
        <f>G238/(1+'Parâmetros'!$B$14)^A238</f>
        <v>301300.6412</v>
      </c>
      <c r="I238" s="25">
        <f>H238/'Parâmetros'!$B$7</f>
        <v>0.3013006412</v>
      </c>
      <c r="J238" s="23">
        <f t="shared" si="3"/>
        <v>359471.0944</v>
      </c>
      <c r="K238" s="23">
        <f t="shared" si="4"/>
        <v>430277.2289</v>
      </c>
      <c r="L238" s="29"/>
      <c r="M238" s="23"/>
    </row>
    <row r="239" ht="15.75" customHeight="1">
      <c r="A239" s="22">
        <v>238.0</v>
      </c>
      <c r="B239" s="22">
        <f t="shared" si="1"/>
        <v>20</v>
      </c>
      <c r="C239" s="23">
        <f>C238*(1+'Parâmetros'!$B$16)</f>
        <v>3435.162749</v>
      </c>
      <c r="D239" s="29">
        <f t="shared" si="6"/>
        <v>3435.162749</v>
      </c>
      <c r="E239" s="23">
        <f t="shared" si="5"/>
        <v>789748.3234</v>
      </c>
      <c r="F239" s="23">
        <f>E239*'Parâmetros'!$B$13</f>
        <v>6297.564034</v>
      </c>
      <c r="G239" s="23">
        <f t="shared" si="2"/>
        <v>799481.0502</v>
      </c>
      <c r="H239" s="23">
        <f>G239/(1+'Parâmetros'!$B$14)^A239</f>
        <v>303776.1983</v>
      </c>
      <c r="I239" s="25">
        <f>H239/'Parâmetros'!$B$7</f>
        <v>0.3037761983</v>
      </c>
      <c r="J239" s="23">
        <f t="shared" si="3"/>
        <v>362906.2572</v>
      </c>
      <c r="K239" s="23">
        <f t="shared" si="4"/>
        <v>436574.793</v>
      </c>
      <c r="L239" s="29"/>
      <c r="M239" s="23"/>
    </row>
    <row r="240" ht="15.75" customHeight="1">
      <c r="A240" s="22">
        <v>239.0</v>
      </c>
      <c r="B240" s="22">
        <f t="shared" si="1"/>
        <v>20</v>
      </c>
      <c r="C240" s="23">
        <f>C239*(1+'Parâmetros'!$B$16)</f>
        <v>3463.210324</v>
      </c>
      <c r="D240" s="29">
        <f t="shared" si="6"/>
        <v>3463.210324</v>
      </c>
      <c r="E240" s="23">
        <f t="shared" si="5"/>
        <v>799481.0502</v>
      </c>
      <c r="F240" s="23">
        <f>E240*'Parâmetros'!$B$13</f>
        <v>6375.174164</v>
      </c>
      <c r="G240" s="23">
        <f t="shared" si="2"/>
        <v>809319.4346</v>
      </c>
      <c r="H240" s="23">
        <f>G240/(1+'Parâmetros'!$B$14)^A240</f>
        <v>306266.6887</v>
      </c>
      <c r="I240" s="25">
        <f>H240/'Parâmetros'!$B$7</f>
        <v>0.3062666887</v>
      </c>
      <c r="J240" s="23">
        <f t="shared" si="3"/>
        <v>366369.4675</v>
      </c>
      <c r="K240" s="23">
        <f t="shared" si="4"/>
        <v>442949.9671</v>
      </c>
      <c r="L240" s="29"/>
      <c r="M240" s="23"/>
    </row>
    <row r="241" ht="15.75" customHeight="1">
      <c r="A241" s="22">
        <v>240.0</v>
      </c>
      <c r="B241" s="22">
        <f t="shared" si="1"/>
        <v>20</v>
      </c>
      <c r="C241" s="23">
        <f>C240*(1+'Parâmetros'!$B$16)</f>
        <v>3491.486903</v>
      </c>
      <c r="D241" s="29">
        <f t="shared" si="6"/>
        <v>3491.486903</v>
      </c>
      <c r="E241" s="23">
        <f t="shared" si="5"/>
        <v>809319.4346</v>
      </c>
      <c r="F241" s="23">
        <f>E241*'Parâmetros'!$B$13</f>
        <v>6453.626824</v>
      </c>
      <c r="G241" s="23">
        <f t="shared" si="2"/>
        <v>819264.5484</v>
      </c>
      <c r="H241" s="23">
        <f>G241/(1+'Parâmetros'!$B$14)^A241</f>
        <v>308772.192</v>
      </c>
      <c r="I241" s="25">
        <f>H241/'Parâmetros'!$B$7</f>
        <v>0.308772192</v>
      </c>
      <c r="J241" s="23">
        <f t="shared" si="3"/>
        <v>369860.9544</v>
      </c>
      <c r="K241" s="23">
        <f t="shared" si="4"/>
        <v>449403.594</v>
      </c>
      <c r="L241" s="29"/>
      <c r="M241" s="23"/>
    </row>
    <row r="242" ht="15.75" customHeight="1">
      <c r="A242" s="22">
        <v>241.0</v>
      </c>
      <c r="B242" s="22">
        <f t="shared" si="1"/>
        <v>21</v>
      </c>
      <c r="C242" s="23">
        <f>C241*(1+'Parâmetros'!$B$16)</f>
        <v>3519.994356</v>
      </c>
      <c r="D242" s="29">
        <f t="shared" si="6"/>
        <v>3519.994356</v>
      </c>
      <c r="E242" s="23">
        <f t="shared" si="5"/>
        <v>819264.5484</v>
      </c>
      <c r="F242" s="23">
        <f>E242*'Parâmetros'!$B$13</f>
        <v>6532.930557</v>
      </c>
      <c r="G242" s="23">
        <f t="shared" si="2"/>
        <v>829317.4733</v>
      </c>
      <c r="H242" s="23">
        <f>G242/(1+'Parâmetros'!$B$14)^A242</f>
        <v>311292.7883</v>
      </c>
      <c r="I242" s="25">
        <f>H242/'Parâmetros'!$B$7</f>
        <v>0.3112927883</v>
      </c>
      <c r="J242" s="23">
        <f t="shared" si="3"/>
        <v>373380.9488</v>
      </c>
      <c r="K242" s="23">
        <f t="shared" si="4"/>
        <v>455936.5245</v>
      </c>
      <c r="L242" s="29"/>
      <c r="M242" s="23"/>
    </row>
    <row r="243" ht="15.75" customHeight="1">
      <c r="A243" s="22">
        <v>242.0</v>
      </c>
      <c r="B243" s="22">
        <f t="shared" si="1"/>
        <v>21</v>
      </c>
      <c r="C243" s="23">
        <f>C242*(1+'Parâmetros'!$B$16)</f>
        <v>3548.734568</v>
      </c>
      <c r="D243" s="29">
        <f t="shared" si="6"/>
        <v>3548.734568</v>
      </c>
      <c r="E243" s="23">
        <f t="shared" si="5"/>
        <v>829317.4733</v>
      </c>
      <c r="F243" s="23">
        <f>E243*'Parâmetros'!$B$13</f>
        <v>6613.093992</v>
      </c>
      <c r="G243" s="23">
        <f t="shared" si="2"/>
        <v>839479.3018</v>
      </c>
      <c r="H243" s="23">
        <f>G243/(1+'Parâmetros'!$B$14)^A243</f>
        <v>313828.5581</v>
      </c>
      <c r="I243" s="25">
        <f>H243/'Parâmetros'!$B$7</f>
        <v>0.3138285581</v>
      </c>
      <c r="J243" s="23">
        <f t="shared" si="3"/>
        <v>376929.6833</v>
      </c>
      <c r="K243" s="23">
        <f t="shared" si="4"/>
        <v>462549.6185</v>
      </c>
      <c r="L243" s="29"/>
      <c r="M243" s="23"/>
    </row>
    <row r="244" ht="15.75" customHeight="1">
      <c r="A244" s="22">
        <v>243.0</v>
      </c>
      <c r="B244" s="22">
        <f t="shared" si="1"/>
        <v>21</v>
      </c>
      <c r="C244" s="23">
        <f>C243*(1+'Parâmetros'!$B$16)</f>
        <v>3577.70944</v>
      </c>
      <c r="D244" s="29">
        <f t="shared" si="6"/>
        <v>3577.70944</v>
      </c>
      <c r="E244" s="23">
        <f t="shared" si="5"/>
        <v>839479.3018</v>
      </c>
      <c r="F244" s="23">
        <f>E244*'Parâmetros'!$B$13</f>
        <v>6694.12584</v>
      </c>
      <c r="G244" s="23">
        <f t="shared" si="2"/>
        <v>849751.1371</v>
      </c>
      <c r="H244" s="23">
        <f>G244/(1+'Parâmetros'!$B$14)^A244</f>
        <v>316379.5822</v>
      </c>
      <c r="I244" s="25">
        <f>H244/'Parâmetros'!$B$7</f>
        <v>0.3163795822</v>
      </c>
      <c r="J244" s="23">
        <f t="shared" si="3"/>
        <v>380507.3928</v>
      </c>
      <c r="K244" s="23">
        <f t="shared" si="4"/>
        <v>469243.7444</v>
      </c>
      <c r="L244" s="29"/>
      <c r="M244" s="23"/>
    </row>
    <row r="245" ht="15.75" customHeight="1">
      <c r="A245" s="22">
        <v>244.0</v>
      </c>
      <c r="B245" s="22">
        <f t="shared" si="1"/>
        <v>21</v>
      </c>
      <c r="C245" s="23">
        <f>C244*(1+'Parâmetros'!$B$16)</f>
        <v>3606.920886</v>
      </c>
      <c r="D245" s="29">
        <f t="shared" si="6"/>
        <v>3606.920886</v>
      </c>
      <c r="E245" s="23">
        <f t="shared" si="5"/>
        <v>849751.1371</v>
      </c>
      <c r="F245" s="23">
        <f>E245*'Parâmetros'!$B$13</f>
        <v>6776.034897</v>
      </c>
      <c r="G245" s="23">
        <f t="shared" si="2"/>
        <v>860134.0929</v>
      </c>
      <c r="H245" s="23">
        <f>G245/(1+'Parâmetros'!$B$14)^A245</f>
        <v>318945.942</v>
      </c>
      <c r="I245" s="25">
        <f>H245/'Parâmetros'!$B$7</f>
        <v>0.318945942</v>
      </c>
      <c r="J245" s="23">
        <f t="shared" si="3"/>
        <v>384114.3136</v>
      </c>
      <c r="K245" s="23">
        <f t="shared" si="4"/>
        <v>476019.7793</v>
      </c>
      <c r="L245" s="29"/>
      <c r="M245" s="23"/>
    </row>
    <row r="246" ht="15.75" customHeight="1">
      <c r="A246" s="22">
        <v>245.0</v>
      </c>
      <c r="B246" s="22">
        <f t="shared" si="1"/>
        <v>21</v>
      </c>
      <c r="C246" s="23">
        <f>C245*(1+'Parâmetros'!$B$16)</f>
        <v>3636.37084</v>
      </c>
      <c r="D246" s="29">
        <f t="shared" si="6"/>
        <v>3636.37084</v>
      </c>
      <c r="E246" s="23">
        <f t="shared" si="5"/>
        <v>860134.0929</v>
      </c>
      <c r="F246" s="23">
        <f>E246*'Parâmetros'!$B$13</f>
        <v>6858.830044</v>
      </c>
      <c r="G246" s="23">
        <f t="shared" si="2"/>
        <v>870629.2938</v>
      </c>
      <c r="H246" s="23">
        <f>G246/(1+'Parâmetros'!$B$14)^A246</f>
        <v>321527.7191</v>
      </c>
      <c r="I246" s="25">
        <f>H246/'Parâmetros'!$B$7</f>
        <v>0.3215277191</v>
      </c>
      <c r="J246" s="23">
        <f t="shared" si="3"/>
        <v>387750.6845</v>
      </c>
      <c r="K246" s="23">
        <f t="shared" si="4"/>
        <v>482878.6093</v>
      </c>
      <c r="L246" s="29"/>
      <c r="M246" s="23"/>
    </row>
    <row r="247" ht="15.75" customHeight="1">
      <c r="A247" s="22">
        <v>246.0</v>
      </c>
      <c r="B247" s="22">
        <f t="shared" si="1"/>
        <v>21</v>
      </c>
      <c r="C247" s="23">
        <f>C246*(1+'Parâmetros'!$B$16)</f>
        <v>3666.061248</v>
      </c>
      <c r="D247" s="29">
        <f t="shared" si="6"/>
        <v>3666.061248</v>
      </c>
      <c r="E247" s="23">
        <f t="shared" si="5"/>
        <v>870629.2938</v>
      </c>
      <c r="F247" s="23">
        <f>E247*'Parâmetros'!$B$13</f>
        <v>6942.52025</v>
      </c>
      <c r="G247" s="23">
        <f t="shared" si="2"/>
        <v>881237.8753</v>
      </c>
      <c r="H247" s="23">
        <f>G247/(1+'Parâmetros'!$B$14)^A247</f>
        <v>324124.9955</v>
      </c>
      <c r="I247" s="25">
        <f>H247/'Parâmetros'!$B$7</f>
        <v>0.3241249955</v>
      </c>
      <c r="J247" s="23">
        <f t="shared" si="3"/>
        <v>391416.7457</v>
      </c>
      <c r="K247" s="23">
        <f t="shared" si="4"/>
        <v>489821.1295</v>
      </c>
      <c r="L247" s="29"/>
      <c r="M247" s="23"/>
    </row>
    <row r="248" ht="15.75" customHeight="1">
      <c r="A248" s="22">
        <v>247.0</v>
      </c>
      <c r="B248" s="22">
        <f t="shared" si="1"/>
        <v>21</v>
      </c>
      <c r="C248" s="23">
        <f>C247*(1+'Parâmetros'!$B$16)</f>
        <v>3695.994074</v>
      </c>
      <c r="D248" s="29">
        <f t="shared" si="6"/>
        <v>3695.994074</v>
      </c>
      <c r="E248" s="23">
        <f t="shared" si="5"/>
        <v>881237.8753</v>
      </c>
      <c r="F248" s="23">
        <f>E248*'Parâmetros'!$B$13</f>
        <v>7027.114569</v>
      </c>
      <c r="G248" s="23">
        <f t="shared" si="2"/>
        <v>891960.9839</v>
      </c>
      <c r="H248" s="23">
        <f>G248/(1+'Parâmetros'!$B$14)^A248</f>
        <v>326737.8538</v>
      </c>
      <c r="I248" s="25">
        <f>H248/'Parâmetros'!$B$7</f>
        <v>0.3267378538</v>
      </c>
      <c r="J248" s="23">
        <f t="shared" si="3"/>
        <v>395112.7398</v>
      </c>
      <c r="K248" s="23">
        <f t="shared" si="4"/>
        <v>496848.2441</v>
      </c>
      <c r="L248" s="29"/>
      <c r="M248" s="23"/>
    </row>
    <row r="249" ht="15.75" customHeight="1">
      <c r="A249" s="22">
        <v>248.0</v>
      </c>
      <c r="B249" s="22">
        <f t="shared" si="1"/>
        <v>21</v>
      </c>
      <c r="C249" s="23">
        <f>C248*(1+'Parâmetros'!$B$16)</f>
        <v>3726.171296</v>
      </c>
      <c r="D249" s="29">
        <f t="shared" si="6"/>
        <v>3726.171296</v>
      </c>
      <c r="E249" s="23">
        <f t="shared" si="5"/>
        <v>891960.9839</v>
      </c>
      <c r="F249" s="23">
        <f>E249*'Parâmetros'!$B$13</f>
        <v>7112.622143</v>
      </c>
      <c r="G249" s="23">
        <f t="shared" si="2"/>
        <v>902799.7774</v>
      </c>
      <c r="H249" s="23">
        <f>G249/(1+'Parâmetros'!$B$14)^A249</f>
        <v>329366.3769</v>
      </c>
      <c r="I249" s="25">
        <f>H249/'Parâmetros'!$B$7</f>
        <v>0.3293663769</v>
      </c>
      <c r="J249" s="23">
        <f t="shared" si="3"/>
        <v>398838.9111</v>
      </c>
      <c r="K249" s="23">
        <f t="shared" si="4"/>
        <v>503960.8663</v>
      </c>
      <c r="L249" s="29"/>
      <c r="M249" s="23"/>
    </row>
    <row r="250" ht="15.75" customHeight="1">
      <c r="A250" s="22">
        <v>249.0</v>
      </c>
      <c r="B250" s="22">
        <f t="shared" si="1"/>
        <v>21</v>
      </c>
      <c r="C250" s="23">
        <f>C249*(1+'Parâmetros'!$B$16)</f>
        <v>3756.594911</v>
      </c>
      <c r="D250" s="29">
        <f t="shared" si="6"/>
        <v>3756.594911</v>
      </c>
      <c r="E250" s="23">
        <f t="shared" si="5"/>
        <v>902799.7774</v>
      </c>
      <c r="F250" s="23">
        <f>E250*'Parâmetros'!$B$13</f>
        <v>7199.052204</v>
      </c>
      <c r="G250" s="23">
        <f t="shared" si="2"/>
        <v>913755.4245</v>
      </c>
      <c r="H250" s="23">
        <f>G250/(1+'Parâmetros'!$B$14)^A250</f>
        <v>332010.6481</v>
      </c>
      <c r="I250" s="25">
        <f>H250/'Parâmetros'!$B$7</f>
        <v>0.3320106481</v>
      </c>
      <c r="J250" s="23">
        <f t="shared" si="3"/>
        <v>402595.506</v>
      </c>
      <c r="K250" s="23">
        <f t="shared" si="4"/>
        <v>511159.9185</v>
      </c>
      <c r="L250" s="29"/>
      <c r="M250" s="23"/>
    </row>
    <row r="251" ht="15.75" customHeight="1">
      <c r="A251" s="22">
        <v>250.0</v>
      </c>
      <c r="B251" s="22">
        <f t="shared" si="1"/>
        <v>21</v>
      </c>
      <c r="C251" s="23">
        <f>C250*(1+'Parâmetros'!$B$16)</f>
        <v>3787.266931</v>
      </c>
      <c r="D251" s="29">
        <f t="shared" si="6"/>
        <v>3787.266931</v>
      </c>
      <c r="E251" s="23">
        <f t="shared" si="5"/>
        <v>913755.4245</v>
      </c>
      <c r="F251" s="23">
        <f>E251*'Parâmetros'!$B$13</f>
        <v>7286.414073</v>
      </c>
      <c r="G251" s="23">
        <f t="shared" si="2"/>
        <v>924829.1055</v>
      </c>
      <c r="H251" s="23">
        <f>G251/(1+'Parâmetros'!$B$14)^A251</f>
        <v>334670.7511</v>
      </c>
      <c r="I251" s="25">
        <f>H251/'Parâmetros'!$B$7</f>
        <v>0.3346707511</v>
      </c>
      <c r="J251" s="23">
        <f t="shared" si="3"/>
        <v>406382.7729</v>
      </c>
      <c r="K251" s="23">
        <f t="shared" si="4"/>
        <v>518446.3325</v>
      </c>
      <c r="L251" s="29"/>
      <c r="M251" s="23"/>
    </row>
    <row r="252" ht="15.75" customHeight="1">
      <c r="A252" s="22">
        <v>251.0</v>
      </c>
      <c r="B252" s="22">
        <f t="shared" si="1"/>
        <v>21</v>
      </c>
      <c r="C252" s="23">
        <f>C251*(1+'Parâmetros'!$B$16)</f>
        <v>3818.189382</v>
      </c>
      <c r="D252" s="29">
        <f t="shared" si="6"/>
        <v>3818.189382</v>
      </c>
      <c r="E252" s="23">
        <f t="shared" si="5"/>
        <v>924829.1055</v>
      </c>
      <c r="F252" s="23">
        <f>E252*'Parâmetros'!$B$13</f>
        <v>7374.71716</v>
      </c>
      <c r="G252" s="23">
        <f t="shared" si="2"/>
        <v>936022.012</v>
      </c>
      <c r="H252" s="23">
        <f>G252/(1+'Parâmetros'!$B$14)^A252</f>
        <v>337346.7701</v>
      </c>
      <c r="I252" s="25">
        <f>H252/'Parâmetros'!$B$7</f>
        <v>0.3373467701</v>
      </c>
      <c r="J252" s="23">
        <f t="shared" si="3"/>
        <v>410200.9623</v>
      </c>
      <c r="K252" s="23">
        <f t="shared" si="4"/>
        <v>525821.0497</v>
      </c>
      <c r="L252" s="29"/>
      <c r="M252" s="23"/>
    </row>
    <row r="253" ht="15.75" customHeight="1">
      <c r="A253" s="22">
        <v>252.0</v>
      </c>
      <c r="B253" s="22">
        <f t="shared" si="1"/>
        <v>21</v>
      </c>
      <c r="C253" s="23">
        <f>C252*(1+'Parâmetros'!$B$16)</f>
        <v>3849.364311</v>
      </c>
      <c r="D253" s="29">
        <f t="shared" si="6"/>
        <v>3849.364311</v>
      </c>
      <c r="E253" s="23">
        <f t="shared" si="5"/>
        <v>936022.012</v>
      </c>
      <c r="F253" s="23">
        <f>E253*'Parâmetros'!$B$13</f>
        <v>7463.970968</v>
      </c>
      <c r="G253" s="23">
        <f t="shared" si="2"/>
        <v>947335.3473</v>
      </c>
      <c r="H253" s="23">
        <f>G253/(1+'Parâmetros'!$B$14)^A253</f>
        <v>340038.7897</v>
      </c>
      <c r="I253" s="25">
        <f>H253/'Parâmetros'!$B$7</f>
        <v>0.3400387897</v>
      </c>
      <c r="J253" s="23">
        <f t="shared" si="3"/>
        <v>414050.3266</v>
      </c>
      <c r="K253" s="23">
        <f t="shared" si="4"/>
        <v>533285.0207</v>
      </c>
      <c r="L253" s="29"/>
      <c r="M253" s="23"/>
    </row>
    <row r="254" ht="15.75" customHeight="1">
      <c r="A254" s="22">
        <v>253.0</v>
      </c>
      <c r="B254" s="22">
        <f t="shared" si="1"/>
        <v>22</v>
      </c>
      <c r="C254" s="23">
        <f>C253*(1+'Parâmetros'!$B$16)</f>
        <v>3880.793778</v>
      </c>
      <c r="D254" s="29">
        <f t="shared" si="6"/>
        <v>3880.793778</v>
      </c>
      <c r="E254" s="23">
        <f t="shared" si="5"/>
        <v>947335.3473</v>
      </c>
      <c r="F254" s="23">
        <f>E254*'Parâmetros'!$B$13</f>
        <v>7554.185093</v>
      </c>
      <c r="G254" s="23">
        <f t="shared" si="2"/>
        <v>958770.3262</v>
      </c>
      <c r="H254" s="23">
        <f>G254/(1+'Parâmetros'!$B$14)^A254</f>
        <v>342746.8948</v>
      </c>
      <c r="I254" s="25">
        <f>H254/'Parâmetros'!$B$7</f>
        <v>0.3427468948</v>
      </c>
      <c r="J254" s="23">
        <f t="shared" si="3"/>
        <v>417931.1204</v>
      </c>
      <c r="K254" s="23">
        <f t="shared" si="4"/>
        <v>540839.2058</v>
      </c>
      <c r="L254" s="29"/>
      <c r="M254" s="23"/>
    </row>
    <row r="255" ht="15.75" customHeight="1">
      <c r="A255" s="22">
        <v>254.0</v>
      </c>
      <c r="B255" s="22">
        <f t="shared" si="1"/>
        <v>22</v>
      </c>
      <c r="C255" s="23">
        <f>C254*(1+'Parâmetros'!$B$16)</f>
        <v>3912.479861</v>
      </c>
      <c r="D255" s="29">
        <f t="shared" si="6"/>
        <v>3912.479861</v>
      </c>
      <c r="E255" s="23">
        <f t="shared" si="5"/>
        <v>958770.3262</v>
      </c>
      <c r="F255" s="23">
        <f>E255*'Parâmetros'!$B$13</f>
        <v>7645.36922</v>
      </c>
      <c r="G255" s="23">
        <f t="shared" si="2"/>
        <v>970328.1753</v>
      </c>
      <c r="H255" s="23">
        <f>G255/(1+'Parâmetros'!$B$14)^A255</f>
        <v>345471.1708</v>
      </c>
      <c r="I255" s="25">
        <f>H255/'Parâmetros'!$B$7</f>
        <v>0.3454711708</v>
      </c>
      <c r="J255" s="23">
        <f t="shared" si="3"/>
        <v>421843.6003</v>
      </c>
      <c r="K255" s="23">
        <f t="shared" si="4"/>
        <v>548484.575</v>
      </c>
      <c r="L255" s="29"/>
      <c r="M255" s="23"/>
    </row>
    <row r="256" ht="15.75" customHeight="1">
      <c r="A256" s="22">
        <v>255.0</v>
      </c>
      <c r="B256" s="22">
        <f t="shared" si="1"/>
        <v>22</v>
      </c>
      <c r="C256" s="23">
        <f>C255*(1+'Parâmetros'!$B$16)</f>
        <v>3944.424657</v>
      </c>
      <c r="D256" s="29">
        <f t="shared" si="6"/>
        <v>3944.424657</v>
      </c>
      <c r="E256" s="23">
        <f t="shared" si="5"/>
        <v>970328.1753</v>
      </c>
      <c r="F256" s="23">
        <f>E256*'Parâmetros'!$B$13</f>
        <v>7737.533132</v>
      </c>
      <c r="G256" s="23">
        <f t="shared" si="2"/>
        <v>982010.133</v>
      </c>
      <c r="H256" s="23">
        <f>G256/(1+'Parâmetros'!$B$14)^A256</f>
        <v>348211.7036</v>
      </c>
      <c r="I256" s="25">
        <f>H256/'Parâmetros'!$B$7</f>
        <v>0.3482117036</v>
      </c>
      <c r="J256" s="23">
        <f t="shared" si="3"/>
        <v>425788.0249</v>
      </c>
      <c r="K256" s="23">
        <f t="shared" si="4"/>
        <v>556222.1081</v>
      </c>
      <c r="L256" s="29"/>
      <c r="M256" s="23"/>
    </row>
    <row r="257" ht="15.75" customHeight="1">
      <c r="A257" s="22">
        <v>256.0</v>
      </c>
      <c r="B257" s="22">
        <f t="shared" si="1"/>
        <v>22</v>
      </c>
      <c r="C257" s="23">
        <f>C256*(1+'Parâmetros'!$B$16)</f>
        <v>3976.630277</v>
      </c>
      <c r="D257" s="29">
        <f t="shared" si="6"/>
        <v>3976.630277</v>
      </c>
      <c r="E257" s="23">
        <f t="shared" si="5"/>
        <v>982010.133</v>
      </c>
      <c r="F257" s="23">
        <f>E257*'Parâmetros'!$B$13</f>
        <v>7830.686704</v>
      </c>
      <c r="G257" s="23">
        <f t="shared" si="2"/>
        <v>993817.45</v>
      </c>
      <c r="H257" s="23">
        <f>G257/(1+'Parâmetros'!$B$14)^A257</f>
        <v>350968.5795</v>
      </c>
      <c r="I257" s="25">
        <f>H257/'Parâmetros'!$B$7</f>
        <v>0.3509685795</v>
      </c>
      <c r="J257" s="23">
        <f t="shared" si="3"/>
        <v>429764.6552</v>
      </c>
      <c r="K257" s="23">
        <f t="shared" si="4"/>
        <v>564052.7948</v>
      </c>
      <c r="L257" s="29"/>
      <c r="M257" s="23"/>
    </row>
    <row r="258" ht="15.75" customHeight="1">
      <c r="A258" s="30">
        <v>257.0</v>
      </c>
      <c r="B258" s="30">
        <f t="shared" si="1"/>
        <v>22</v>
      </c>
      <c r="C258" s="31">
        <f>C257*(1+'Parâmetros'!$B$16)</f>
        <v>4009.098851</v>
      </c>
      <c r="D258" s="32">
        <f t="shared" si="6"/>
        <v>4009.098851</v>
      </c>
      <c r="E258" s="31">
        <f t="shared" si="5"/>
        <v>993817.45</v>
      </c>
      <c r="F258" s="31">
        <f>E258*'Parâmetros'!$B$13</f>
        <v>7924.839907</v>
      </c>
      <c r="G258" s="31">
        <f t="shared" si="2"/>
        <v>1005751.389</v>
      </c>
      <c r="H258" s="31">
        <f>G258/(1+'Parâmetros'!$B$14)^A258</f>
        <v>353741.8851</v>
      </c>
      <c r="I258" s="33">
        <f>H258/'Parâmetros'!$B$7</f>
        <v>0.3537418851</v>
      </c>
      <c r="J258" s="31">
        <f t="shared" si="3"/>
        <v>433773.7541</v>
      </c>
      <c r="K258" s="31">
        <f t="shared" si="4"/>
        <v>571977.6347</v>
      </c>
      <c r="L258" s="29"/>
      <c r="M258" s="23"/>
    </row>
    <row r="259" ht="15.75" customHeight="1">
      <c r="A259" s="22">
        <v>258.0</v>
      </c>
      <c r="B259" s="22">
        <f t="shared" si="1"/>
        <v>22</v>
      </c>
      <c r="C259" s="23">
        <f>C258*(1+'Parâmetros'!$B$16)</f>
        <v>4041.832526</v>
      </c>
      <c r="D259" s="29">
        <f t="shared" si="6"/>
        <v>4041.832526</v>
      </c>
      <c r="E259" s="23">
        <f t="shared" si="5"/>
        <v>1005751.389</v>
      </c>
      <c r="F259" s="23">
        <f>E259*'Parâmetros'!$B$13</f>
        <v>8020.002811</v>
      </c>
      <c r="G259" s="23">
        <f t="shared" si="2"/>
        <v>1017813.224</v>
      </c>
      <c r="H259" s="23">
        <f>G259/(1+'Parâmetros'!$B$14)^A259</f>
        <v>356531.7076</v>
      </c>
      <c r="I259" s="25">
        <f>H259/'Parâmetros'!$B$7</f>
        <v>0.3565317076</v>
      </c>
      <c r="J259" s="23">
        <f t="shared" si="3"/>
        <v>437815.5866</v>
      </c>
      <c r="K259" s="23">
        <f t="shared" si="4"/>
        <v>579997.6375</v>
      </c>
      <c r="L259" s="29"/>
      <c r="M259" s="23"/>
    </row>
    <row r="260" ht="15.75" customHeight="1">
      <c r="A260" s="22">
        <v>259.0</v>
      </c>
      <c r="B260" s="22">
        <f t="shared" si="1"/>
        <v>22</v>
      </c>
      <c r="C260" s="23">
        <f>C259*(1+'Parâmetros'!$B$16)</f>
        <v>4074.833466</v>
      </c>
      <c r="D260" s="29">
        <f t="shared" si="6"/>
        <v>4074.833466</v>
      </c>
      <c r="E260" s="23">
        <f t="shared" si="5"/>
        <v>1017813.224</v>
      </c>
      <c r="F260" s="23">
        <f>E260*'Parâmetros'!$B$13</f>
        <v>8116.18558</v>
      </c>
      <c r="G260" s="23">
        <f t="shared" si="2"/>
        <v>1030004.243</v>
      </c>
      <c r="H260" s="23">
        <f>G260/(1+'Parâmetros'!$B$14)^A260</f>
        <v>359338.1345</v>
      </c>
      <c r="I260" s="25">
        <f>H260/'Parâmetros'!$B$7</f>
        <v>0.3593381345</v>
      </c>
      <c r="J260" s="23">
        <f t="shared" si="3"/>
        <v>441890.4201</v>
      </c>
      <c r="K260" s="23">
        <f t="shared" si="4"/>
        <v>588113.8231</v>
      </c>
      <c r="L260" s="29"/>
      <c r="M260" s="23"/>
    </row>
    <row r="261" ht="15.75" customHeight="1">
      <c r="A261" s="22">
        <v>260.0</v>
      </c>
      <c r="B261" s="22">
        <f t="shared" si="1"/>
        <v>22</v>
      </c>
      <c r="C261" s="23">
        <f>C260*(1+'Parâmetros'!$B$16)</f>
        <v>4108.103854</v>
      </c>
      <c r="D261" s="29">
        <f t="shared" si="6"/>
        <v>4108.103854</v>
      </c>
      <c r="E261" s="23">
        <f t="shared" si="5"/>
        <v>1030004.243</v>
      </c>
      <c r="F261" s="23">
        <f>E261*'Parâmetros'!$B$13</f>
        <v>8213.398477</v>
      </c>
      <c r="G261" s="23">
        <f t="shared" si="2"/>
        <v>1042325.746</v>
      </c>
      <c r="H261" s="23">
        <f>G261/(1+'Parâmetros'!$B$14)^A261</f>
        <v>362161.2539</v>
      </c>
      <c r="I261" s="25">
        <f>H261/'Parâmetros'!$B$7</f>
        <v>0.3621612539</v>
      </c>
      <c r="J261" s="23">
        <f t="shared" si="3"/>
        <v>445998.5239</v>
      </c>
      <c r="K261" s="23">
        <f t="shared" si="4"/>
        <v>596327.2216</v>
      </c>
      <c r="L261" s="29"/>
      <c r="M261" s="23"/>
    </row>
    <row r="262" ht="15.75" customHeight="1">
      <c r="A262" s="22">
        <v>261.0</v>
      </c>
      <c r="B262" s="22">
        <f t="shared" si="1"/>
        <v>22</v>
      </c>
      <c r="C262" s="23">
        <f>C261*(1+'Parâmetros'!$B$16)</f>
        <v>4141.64589</v>
      </c>
      <c r="D262" s="29">
        <f t="shared" si="6"/>
        <v>4141.64589</v>
      </c>
      <c r="E262" s="23">
        <f t="shared" si="5"/>
        <v>1042325.746</v>
      </c>
      <c r="F262" s="23">
        <f>E262*'Parâmetros'!$B$13</f>
        <v>8311.651867</v>
      </c>
      <c r="G262" s="23">
        <f t="shared" si="2"/>
        <v>1054779.043</v>
      </c>
      <c r="H262" s="23">
        <f>G262/(1+'Parâmetros'!$B$14)^A262</f>
        <v>365001.1541</v>
      </c>
      <c r="I262" s="25">
        <f>H262/'Parâmetros'!$B$7</f>
        <v>0.3650011541</v>
      </c>
      <c r="J262" s="23">
        <f t="shared" si="3"/>
        <v>450140.1698</v>
      </c>
      <c r="K262" s="23">
        <f t="shared" si="4"/>
        <v>604638.8735</v>
      </c>
      <c r="L262" s="29"/>
      <c r="M262" s="23"/>
    </row>
    <row r="263" ht="15.75" customHeight="1">
      <c r="A263" s="22">
        <v>262.0</v>
      </c>
      <c r="B263" s="22">
        <f t="shared" si="1"/>
        <v>22</v>
      </c>
      <c r="C263" s="23">
        <f>C262*(1+'Parâmetros'!$B$16)</f>
        <v>4175.461791</v>
      </c>
      <c r="D263" s="29">
        <f t="shared" si="6"/>
        <v>4175.461791</v>
      </c>
      <c r="E263" s="23">
        <f t="shared" si="5"/>
        <v>1054779.043</v>
      </c>
      <c r="F263" s="23">
        <f>E263*'Parâmetros'!$B$13</f>
        <v>8410.956212</v>
      </c>
      <c r="G263" s="23">
        <f t="shared" si="2"/>
        <v>1067365.461</v>
      </c>
      <c r="H263" s="23">
        <f>G263/(1+'Parâmetros'!$B$14)^A263</f>
        <v>367857.9241</v>
      </c>
      <c r="I263" s="25">
        <f>H263/'Parâmetros'!$B$7</f>
        <v>0.3678579241</v>
      </c>
      <c r="J263" s="23">
        <f t="shared" si="3"/>
        <v>454315.6316</v>
      </c>
      <c r="K263" s="23">
        <f t="shared" si="4"/>
        <v>613049.8297</v>
      </c>
      <c r="L263" s="29"/>
      <c r="M263" s="23"/>
    </row>
    <row r="264" ht="15.75" customHeight="1">
      <c r="A264" s="22">
        <v>263.0</v>
      </c>
      <c r="B264" s="22">
        <f t="shared" si="1"/>
        <v>22</v>
      </c>
      <c r="C264" s="23">
        <f>C263*(1+'Parâmetros'!$B$16)</f>
        <v>4209.553794</v>
      </c>
      <c r="D264" s="29">
        <f t="shared" si="6"/>
        <v>4209.553794</v>
      </c>
      <c r="E264" s="23">
        <f t="shared" si="5"/>
        <v>1067365.461</v>
      </c>
      <c r="F264" s="23">
        <f>E264*'Parâmetros'!$B$13</f>
        <v>8511.322077</v>
      </c>
      <c r="G264" s="23">
        <f t="shared" si="2"/>
        <v>1080086.337</v>
      </c>
      <c r="H264" s="23">
        <f>G264/(1+'Parâmetros'!$B$14)^A264</f>
        <v>370731.6531</v>
      </c>
      <c r="I264" s="25">
        <f>H264/'Parâmetros'!$B$7</f>
        <v>0.3707316531</v>
      </c>
      <c r="J264" s="23">
        <f t="shared" si="3"/>
        <v>458525.1854</v>
      </c>
      <c r="K264" s="23">
        <f t="shared" si="4"/>
        <v>621561.1517</v>
      </c>
      <c r="L264" s="29"/>
      <c r="M264" s="23"/>
    </row>
    <row r="265" ht="15.75" customHeight="1">
      <c r="A265" s="22">
        <v>264.0</v>
      </c>
      <c r="B265" s="22">
        <f t="shared" si="1"/>
        <v>22</v>
      </c>
      <c r="C265" s="23">
        <f>C264*(1+'Parâmetros'!$B$16)</f>
        <v>4243.924152</v>
      </c>
      <c r="D265" s="29">
        <f t="shared" si="6"/>
        <v>4243.924152</v>
      </c>
      <c r="E265" s="23">
        <f t="shared" si="5"/>
        <v>1080086.337</v>
      </c>
      <c r="F265" s="23">
        <f>E265*'Parâmetros'!$B$13</f>
        <v>8612.760128</v>
      </c>
      <c r="G265" s="23">
        <f t="shared" si="2"/>
        <v>1092943.021</v>
      </c>
      <c r="H265" s="23">
        <f>G265/(1+'Parâmetros'!$B$14)^A265</f>
        <v>373622.431</v>
      </c>
      <c r="I265" s="25">
        <f>H265/'Parâmetros'!$B$7</f>
        <v>0.373622431</v>
      </c>
      <c r="J265" s="23">
        <f t="shared" si="3"/>
        <v>462769.1095</v>
      </c>
      <c r="K265" s="23">
        <f t="shared" si="4"/>
        <v>630173.9119</v>
      </c>
      <c r="L265" s="29"/>
      <c r="M265" s="23"/>
    </row>
    <row r="266" ht="15.75" customHeight="1">
      <c r="A266" s="22">
        <v>265.0</v>
      </c>
      <c r="B266" s="22">
        <f t="shared" si="1"/>
        <v>23</v>
      </c>
      <c r="C266" s="23">
        <f>C265*(1+'Parâmetros'!$B$16)</f>
        <v>4278.57514</v>
      </c>
      <c r="D266" s="29">
        <f t="shared" si="6"/>
        <v>4278.57514</v>
      </c>
      <c r="E266" s="23">
        <f t="shared" si="5"/>
        <v>1092943.021</v>
      </c>
      <c r="F266" s="23">
        <f>E266*'Parâmetros'!$B$13</f>
        <v>8715.281134</v>
      </c>
      <c r="G266" s="23">
        <f t="shared" si="2"/>
        <v>1105936.878</v>
      </c>
      <c r="H266" s="23">
        <f>G266/(1+'Parâmetros'!$B$14)^A266</f>
        <v>376530.3478</v>
      </c>
      <c r="I266" s="25">
        <f>H266/'Parâmetros'!$B$7</f>
        <v>0.3765303478</v>
      </c>
      <c r="J266" s="23">
        <f t="shared" si="3"/>
        <v>467047.6847</v>
      </c>
      <c r="K266" s="23">
        <f t="shared" si="4"/>
        <v>638889.193</v>
      </c>
      <c r="L266" s="29"/>
      <c r="M266" s="23"/>
    </row>
    <row r="267" ht="15.75" customHeight="1">
      <c r="A267" s="22">
        <v>266.0</v>
      </c>
      <c r="B267" s="22">
        <f t="shared" si="1"/>
        <v>23</v>
      </c>
      <c r="C267" s="23">
        <f>C266*(1+'Parâmetros'!$B$16)</f>
        <v>4313.509047</v>
      </c>
      <c r="D267" s="29">
        <f t="shared" si="6"/>
        <v>4313.509047</v>
      </c>
      <c r="E267" s="23">
        <f t="shared" si="5"/>
        <v>1105936.878</v>
      </c>
      <c r="F267" s="23">
        <f>E267*'Parâmetros'!$B$13</f>
        <v>8818.895968</v>
      </c>
      <c r="G267" s="23">
        <f t="shared" si="2"/>
        <v>1119069.283</v>
      </c>
      <c r="H267" s="23">
        <f>G267/(1+'Parâmetros'!$B$14)^A267</f>
        <v>379455.4943</v>
      </c>
      <c r="I267" s="25">
        <f>H267/'Parâmetros'!$B$7</f>
        <v>0.3794554943</v>
      </c>
      <c r="J267" s="23">
        <f t="shared" si="3"/>
        <v>471361.1937</v>
      </c>
      <c r="K267" s="23">
        <f t="shared" si="4"/>
        <v>647708.089</v>
      </c>
      <c r="L267" s="29"/>
      <c r="M267" s="23"/>
    </row>
    <row r="268" ht="15.75" customHeight="1">
      <c r="A268" s="22">
        <v>267.0</v>
      </c>
      <c r="B268" s="22">
        <f t="shared" si="1"/>
        <v>23</v>
      </c>
      <c r="C268" s="23">
        <f>C267*(1+'Parâmetros'!$B$16)</f>
        <v>4348.728184</v>
      </c>
      <c r="D268" s="29">
        <f t="shared" si="6"/>
        <v>4348.728184</v>
      </c>
      <c r="E268" s="23">
        <f t="shared" si="5"/>
        <v>1119069.283</v>
      </c>
      <c r="F268" s="23">
        <f>E268*'Parâmetros'!$B$13</f>
        <v>8923.61561</v>
      </c>
      <c r="G268" s="23">
        <f t="shared" si="2"/>
        <v>1132341.626</v>
      </c>
      <c r="H268" s="23">
        <f>G268/(1+'Parâmetros'!$B$14)^A268</f>
        <v>382397.9616</v>
      </c>
      <c r="I268" s="25">
        <f>H268/'Parâmetros'!$B$7</f>
        <v>0.3823979616</v>
      </c>
      <c r="J268" s="23">
        <f t="shared" si="3"/>
        <v>475709.9219</v>
      </c>
      <c r="K268" s="23">
        <f t="shared" si="4"/>
        <v>656631.7046</v>
      </c>
      <c r="L268" s="29"/>
      <c r="M268" s="23"/>
    </row>
    <row r="269" ht="15.75" customHeight="1">
      <c r="A269" s="22">
        <v>268.0</v>
      </c>
      <c r="B269" s="22">
        <f t="shared" si="1"/>
        <v>23</v>
      </c>
      <c r="C269" s="23">
        <f>C268*(1+'Parâmetros'!$B$16)</f>
        <v>4384.234881</v>
      </c>
      <c r="D269" s="29">
        <f t="shared" si="6"/>
        <v>4384.234881</v>
      </c>
      <c r="E269" s="23">
        <f t="shared" si="5"/>
        <v>1132341.626</v>
      </c>
      <c r="F269" s="23">
        <f>E269*'Parâmetros'!$B$13</f>
        <v>9029.451143</v>
      </c>
      <c r="G269" s="23">
        <f t="shared" si="2"/>
        <v>1145755.313</v>
      </c>
      <c r="H269" s="23">
        <f>G269/(1+'Parâmetros'!$B$14)^A269</f>
        <v>385357.8412</v>
      </c>
      <c r="I269" s="25">
        <f>H269/'Parâmetros'!$B$7</f>
        <v>0.3853578412</v>
      </c>
      <c r="J269" s="23">
        <f t="shared" si="3"/>
        <v>480094.1568</v>
      </c>
      <c r="K269" s="23">
        <f t="shared" si="4"/>
        <v>665661.1557</v>
      </c>
      <c r="L269" s="29"/>
      <c r="M269" s="23"/>
    </row>
    <row r="270" ht="15.75" customHeight="1">
      <c r="A270" s="22">
        <v>269.0</v>
      </c>
      <c r="B270" s="22">
        <f t="shared" si="1"/>
        <v>23</v>
      </c>
      <c r="C270" s="23">
        <f>C269*(1+'Parâmetros'!$B$16)</f>
        <v>4420.031483</v>
      </c>
      <c r="D270" s="29">
        <f t="shared" si="6"/>
        <v>4420.031483</v>
      </c>
      <c r="E270" s="23">
        <f t="shared" si="5"/>
        <v>1145755.313</v>
      </c>
      <c r="F270" s="23">
        <f>E270*'Parâmetros'!$B$13</f>
        <v>9136.413759</v>
      </c>
      <c r="G270" s="23">
        <f t="shared" si="2"/>
        <v>1159311.758</v>
      </c>
      <c r="H270" s="23">
        <f>G270/(1+'Parâmetros'!$B$14)^A270</f>
        <v>388335.2251</v>
      </c>
      <c r="I270" s="25">
        <f>H270/'Parâmetros'!$B$7</f>
        <v>0.3883352251</v>
      </c>
      <c r="J270" s="23">
        <f t="shared" si="3"/>
        <v>484514.1883</v>
      </c>
      <c r="K270" s="23">
        <f t="shared" si="4"/>
        <v>674797.5695</v>
      </c>
      <c r="L270" s="29"/>
      <c r="M270" s="23"/>
    </row>
    <row r="271" ht="15.75" customHeight="1">
      <c r="A271" s="22">
        <v>270.0</v>
      </c>
      <c r="B271" s="22">
        <f t="shared" si="1"/>
        <v>23</v>
      </c>
      <c r="C271" s="23">
        <f>C270*(1+'Parâmetros'!$B$16)</f>
        <v>4456.12036</v>
      </c>
      <c r="D271" s="29">
        <f t="shared" si="6"/>
        <v>4456.12036</v>
      </c>
      <c r="E271" s="23">
        <f t="shared" si="5"/>
        <v>1159311.758</v>
      </c>
      <c r="F271" s="23">
        <f>E271*'Parâmetros'!$B$13</f>
        <v>9244.514757</v>
      </c>
      <c r="G271" s="23">
        <f t="shared" si="2"/>
        <v>1173012.393</v>
      </c>
      <c r="H271" s="23">
        <f>G271/(1+'Parâmetros'!$B$14)^A271</f>
        <v>391330.2059</v>
      </c>
      <c r="I271" s="25">
        <f>H271/'Parâmetros'!$B$7</f>
        <v>0.3913302059</v>
      </c>
      <c r="J271" s="23">
        <f t="shared" si="3"/>
        <v>488970.3086</v>
      </c>
      <c r="K271" s="23">
        <f t="shared" si="4"/>
        <v>684042.0842</v>
      </c>
      <c r="L271" s="29"/>
      <c r="M271" s="23"/>
    </row>
    <row r="272" ht="15.75" customHeight="1">
      <c r="A272" s="22">
        <v>271.0</v>
      </c>
      <c r="B272" s="22">
        <f t="shared" si="1"/>
        <v>23</v>
      </c>
      <c r="C272" s="23">
        <f>C271*(1+'Parâmetros'!$B$16)</f>
        <v>4492.503897</v>
      </c>
      <c r="D272" s="29">
        <f t="shared" si="6"/>
        <v>4492.503897</v>
      </c>
      <c r="E272" s="23">
        <f t="shared" si="5"/>
        <v>1173012.393</v>
      </c>
      <c r="F272" s="23">
        <f>E272*'Parâmetros'!$B$13</f>
        <v>9353.765546</v>
      </c>
      <c r="G272" s="23">
        <f t="shared" si="2"/>
        <v>1186858.662</v>
      </c>
      <c r="H272" s="23">
        <f>G272/(1+'Parâmetros'!$B$14)^A272</f>
        <v>394342.8763</v>
      </c>
      <c r="I272" s="25">
        <f>H272/'Parâmetros'!$B$7</f>
        <v>0.3943428763</v>
      </c>
      <c r="J272" s="23">
        <f t="shared" si="3"/>
        <v>493462.8125</v>
      </c>
      <c r="K272" s="23">
        <f t="shared" si="4"/>
        <v>693395.8498</v>
      </c>
      <c r="L272" s="29"/>
      <c r="M272" s="23"/>
    </row>
    <row r="273" ht="15.75" customHeight="1">
      <c r="A273" s="22">
        <v>272.0</v>
      </c>
      <c r="B273" s="22">
        <f t="shared" si="1"/>
        <v>23</v>
      </c>
      <c r="C273" s="23">
        <f>C272*(1+'Parâmetros'!$B$16)</f>
        <v>4529.184499</v>
      </c>
      <c r="D273" s="29">
        <f t="shared" si="6"/>
        <v>4529.184499</v>
      </c>
      <c r="E273" s="23">
        <f t="shared" si="5"/>
        <v>1186858.662</v>
      </c>
      <c r="F273" s="23">
        <f>E273*'Parâmetros'!$B$13</f>
        <v>9464.177643</v>
      </c>
      <c r="G273" s="23">
        <f t="shared" si="2"/>
        <v>1200852.024</v>
      </c>
      <c r="H273" s="23">
        <f>G273/(1+'Parâmetros'!$B$14)^A273</f>
        <v>397373.3299</v>
      </c>
      <c r="I273" s="25">
        <f>H273/'Parâmetros'!$B$7</f>
        <v>0.3973733299</v>
      </c>
      <c r="J273" s="23">
        <f t="shared" si="3"/>
        <v>497991.997</v>
      </c>
      <c r="K273" s="23">
        <f t="shared" si="4"/>
        <v>702860.0274</v>
      </c>
      <c r="L273" s="29"/>
      <c r="M273" s="23"/>
    </row>
    <row r="274" ht="15.75" customHeight="1">
      <c r="A274" s="22">
        <v>273.0</v>
      </c>
      <c r="B274" s="22">
        <f t="shared" si="1"/>
        <v>23</v>
      </c>
      <c r="C274" s="23">
        <f>C273*(1+'Parâmetros'!$B$16)</f>
        <v>4566.164594</v>
      </c>
      <c r="D274" s="29">
        <f t="shared" si="6"/>
        <v>4566.164594</v>
      </c>
      <c r="E274" s="23">
        <f t="shared" si="5"/>
        <v>1200852.024</v>
      </c>
      <c r="F274" s="23">
        <f>E274*'Parâmetros'!$B$13</f>
        <v>9575.762677</v>
      </c>
      <c r="G274" s="23">
        <f t="shared" si="2"/>
        <v>1214993.952</v>
      </c>
      <c r="H274" s="23">
        <f>G274/(1+'Parâmetros'!$B$14)^A274</f>
        <v>400421.6604</v>
      </c>
      <c r="I274" s="25">
        <f>H274/'Parâmetros'!$B$7</f>
        <v>0.4004216604</v>
      </c>
      <c r="J274" s="23">
        <f t="shared" si="3"/>
        <v>502558.1616</v>
      </c>
      <c r="K274" s="23">
        <f t="shared" si="4"/>
        <v>712435.7901</v>
      </c>
      <c r="L274" s="29"/>
      <c r="M274" s="23"/>
    </row>
    <row r="275" ht="15.75" customHeight="1">
      <c r="A275" s="22">
        <v>274.0</v>
      </c>
      <c r="B275" s="22">
        <f t="shared" si="1"/>
        <v>23</v>
      </c>
      <c r="C275" s="23">
        <f>C274*(1+'Parâmetros'!$B$16)</f>
        <v>4603.446625</v>
      </c>
      <c r="D275" s="29">
        <f t="shared" si="6"/>
        <v>4603.446625</v>
      </c>
      <c r="E275" s="23">
        <f t="shared" si="5"/>
        <v>1214993.952</v>
      </c>
      <c r="F275" s="23">
        <f>E275*'Parâmetros'!$B$13</f>
        <v>9688.532391</v>
      </c>
      <c r="G275" s="23">
        <f t="shared" si="2"/>
        <v>1229285.931</v>
      </c>
      <c r="H275" s="23">
        <f>G275/(1+'Parâmetros'!$B$14)^A275</f>
        <v>403487.9622</v>
      </c>
      <c r="I275" s="25">
        <f>H275/'Parâmetros'!$B$7</f>
        <v>0.4034879622</v>
      </c>
      <c r="J275" s="23">
        <f t="shared" si="3"/>
        <v>507161.6083</v>
      </c>
      <c r="K275" s="23">
        <f t="shared" si="4"/>
        <v>722124.3225</v>
      </c>
      <c r="L275" s="29"/>
      <c r="M275" s="23"/>
    </row>
    <row r="276" ht="15.75" customHeight="1">
      <c r="A276" s="22">
        <v>275.0</v>
      </c>
      <c r="B276" s="22">
        <f t="shared" si="1"/>
        <v>23</v>
      </c>
      <c r="C276" s="23">
        <f>C275*(1+'Parâmetros'!$B$16)</f>
        <v>4641.033058</v>
      </c>
      <c r="D276" s="29">
        <f t="shared" si="6"/>
        <v>4641.033058</v>
      </c>
      <c r="E276" s="23">
        <f t="shared" si="5"/>
        <v>1229285.931</v>
      </c>
      <c r="F276" s="23">
        <f>E276*'Parâmetros'!$B$13</f>
        <v>9802.498639</v>
      </c>
      <c r="G276" s="23">
        <f t="shared" si="2"/>
        <v>1243729.462</v>
      </c>
      <c r="H276" s="23">
        <f>G276/(1+'Parâmetros'!$B$14)^A276</f>
        <v>406572.33</v>
      </c>
      <c r="I276" s="25">
        <f>H276/'Parâmetros'!$B$7</f>
        <v>0.40657233</v>
      </c>
      <c r="J276" s="23">
        <f t="shared" si="3"/>
        <v>511802.6413</v>
      </c>
      <c r="K276" s="23">
        <f t="shared" si="4"/>
        <v>731926.8211</v>
      </c>
      <c r="L276" s="29"/>
      <c r="M276" s="23"/>
    </row>
    <row r="277" ht="15.75" customHeight="1">
      <c r="A277" s="22">
        <v>276.0</v>
      </c>
      <c r="B277" s="22">
        <f t="shared" si="1"/>
        <v>23</v>
      </c>
      <c r="C277" s="23">
        <f>C276*(1+'Parâmetros'!$B$16)</f>
        <v>4678.926378</v>
      </c>
      <c r="D277" s="29">
        <f t="shared" si="6"/>
        <v>4678.926378</v>
      </c>
      <c r="E277" s="23">
        <f t="shared" si="5"/>
        <v>1243729.462</v>
      </c>
      <c r="F277" s="23">
        <f>E277*'Parâmetros'!$B$13</f>
        <v>9917.673389</v>
      </c>
      <c r="G277" s="23">
        <f t="shared" si="2"/>
        <v>1258326.062</v>
      </c>
      <c r="H277" s="23">
        <f>G277/(1+'Parâmetros'!$B$14)^A277</f>
        <v>409674.8592</v>
      </c>
      <c r="I277" s="25">
        <f>H277/'Parâmetros'!$B$7</f>
        <v>0.4096748592</v>
      </c>
      <c r="J277" s="23">
        <f t="shared" si="3"/>
        <v>516481.5677</v>
      </c>
      <c r="K277" s="23">
        <f t="shared" si="4"/>
        <v>741844.4945</v>
      </c>
      <c r="L277" s="29"/>
      <c r="M277" s="23"/>
    </row>
    <row r="278" ht="15.75" customHeight="1">
      <c r="A278" s="22">
        <v>277.0</v>
      </c>
      <c r="B278" s="22">
        <f t="shared" si="1"/>
        <v>24</v>
      </c>
      <c r="C278" s="23">
        <f>C277*(1+'Parâmetros'!$B$16)</f>
        <v>4717.129092</v>
      </c>
      <c r="D278" s="29">
        <f t="shared" si="6"/>
        <v>4717.129092</v>
      </c>
      <c r="E278" s="23">
        <f t="shared" si="5"/>
        <v>1258326.062</v>
      </c>
      <c r="F278" s="23">
        <f>E278*'Parâmetros'!$B$13</f>
        <v>10034.06873</v>
      </c>
      <c r="G278" s="23">
        <f t="shared" si="2"/>
        <v>1273077.26</v>
      </c>
      <c r="H278" s="23">
        <f>G278/(1+'Parâmetros'!$B$14)^A278</f>
        <v>412795.6454</v>
      </c>
      <c r="I278" s="25">
        <f>H278/'Parâmetros'!$B$7</f>
        <v>0.4127956454</v>
      </c>
      <c r="J278" s="23">
        <f t="shared" si="3"/>
        <v>521198.6968</v>
      </c>
      <c r="K278" s="23">
        <f t="shared" si="4"/>
        <v>751878.5633</v>
      </c>
      <c r="L278" s="29"/>
      <c r="M278" s="23"/>
    </row>
    <row r="279" ht="15.75" customHeight="1">
      <c r="A279" s="22">
        <v>278.0</v>
      </c>
      <c r="B279" s="22">
        <f t="shared" si="1"/>
        <v>24</v>
      </c>
      <c r="C279" s="23">
        <f>C278*(1+'Parâmetros'!$B$16)</f>
        <v>4755.643724</v>
      </c>
      <c r="D279" s="29">
        <f t="shared" si="6"/>
        <v>4755.643724</v>
      </c>
      <c r="E279" s="23">
        <f t="shared" si="5"/>
        <v>1273077.26</v>
      </c>
      <c r="F279" s="23">
        <f>E279*'Parâmetros'!$B$13</f>
        <v>10151.69685</v>
      </c>
      <c r="G279" s="23">
        <f t="shared" si="2"/>
        <v>1287984.601</v>
      </c>
      <c r="H279" s="23">
        <f>G279/(1+'Parâmetros'!$B$14)^A279</f>
        <v>415934.7848</v>
      </c>
      <c r="I279" s="25">
        <f>H279/'Parâmetros'!$B$7</f>
        <v>0.4159347848</v>
      </c>
      <c r="J279" s="23">
        <f t="shared" si="3"/>
        <v>525954.3405</v>
      </c>
      <c r="K279" s="23">
        <f t="shared" si="4"/>
        <v>762030.2601</v>
      </c>
      <c r="L279" s="29"/>
      <c r="M279" s="23"/>
    </row>
    <row r="280" ht="15.75" customHeight="1">
      <c r="A280" s="22">
        <v>279.0</v>
      </c>
      <c r="B280" s="22">
        <f t="shared" si="1"/>
        <v>24</v>
      </c>
      <c r="C280" s="23">
        <f>C279*(1+'Parâmetros'!$B$16)</f>
        <v>4794.472823</v>
      </c>
      <c r="D280" s="29">
        <f t="shared" si="6"/>
        <v>4794.472823</v>
      </c>
      <c r="E280" s="23">
        <f t="shared" si="5"/>
        <v>1287984.601</v>
      </c>
      <c r="F280" s="23">
        <f>E280*'Parâmetros'!$B$13</f>
        <v>10270.57008</v>
      </c>
      <c r="G280" s="23">
        <f t="shared" si="2"/>
        <v>1303049.644</v>
      </c>
      <c r="H280" s="23">
        <f>G280/(1+'Parâmetros'!$B$14)^A280</f>
        <v>419092.3741</v>
      </c>
      <c r="I280" s="25">
        <f>H280/'Parâmetros'!$B$7</f>
        <v>0.4190923741</v>
      </c>
      <c r="J280" s="23">
        <f t="shared" si="3"/>
        <v>530748.8133</v>
      </c>
      <c r="K280" s="23">
        <f t="shared" si="4"/>
        <v>772300.8302</v>
      </c>
      <c r="L280" s="29"/>
      <c r="M280" s="23"/>
    </row>
    <row r="281" ht="15.75" customHeight="1">
      <c r="A281" s="22">
        <v>280.0</v>
      </c>
      <c r="B281" s="22">
        <f t="shared" si="1"/>
        <v>24</v>
      </c>
      <c r="C281" s="23">
        <f>C280*(1+'Parâmetros'!$B$16)</f>
        <v>4833.618956</v>
      </c>
      <c r="D281" s="29">
        <f t="shared" si="6"/>
        <v>4833.618956</v>
      </c>
      <c r="E281" s="23">
        <f t="shared" si="5"/>
        <v>1303049.644</v>
      </c>
      <c r="F281" s="23">
        <f>E281*'Parâmetros'!$B$13</f>
        <v>10390.70084</v>
      </c>
      <c r="G281" s="23">
        <f t="shared" si="2"/>
        <v>1318273.963</v>
      </c>
      <c r="H281" s="23">
        <f>G281/(1+'Parâmetros'!$B$14)^A281</f>
        <v>422268.5105</v>
      </c>
      <c r="I281" s="25">
        <f>H281/'Parâmetros'!$B$7</f>
        <v>0.4222685105</v>
      </c>
      <c r="J281" s="23">
        <f t="shared" si="3"/>
        <v>535582.4323</v>
      </c>
      <c r="K281" s="23">
        <f t="shared" si="4"/>
        <v>782691.531</v>
      </c>
      <c r="L281" s="29"/>
      <c r="M281" s="23"/>
    </row>
    <row r="282" ht="15.75" customHeight="1">
      <c r="A282" s="22">
        <v>281.0</v>
      </c>
      <c r="B282" s="22">
        <f t="shared" si="1"/>
        <v>24</v>
      </c>
      <c r="C282" s="23">
        <f>C281*(1+'Parâmetros'!$B$16)</f>
        <v>4873.08471</v>
      </c>
      <c r="D282" s="29">
        <f t="shared" si="6"/>
        <v>4873.08471</v>
      </c>
      <c r="E282" s="23">
        <f t="shared" si="5"/>
        <v>1318273.963</v>
      </c>
      <c r="F282" s="23">
        <f>E282*'Parâmetros'!$B$13</f>
        <v>10512.10171</v>
      </c>
      <c r="G282" s="23">
        <f t="shared" si="2"/>
        <v>1333659.15</v>
      </c>
      <c r="H282" s="23">
        <f>G282/(1+'Parâmetros'!$B$14)^A282</f>
        <v>425463.2915</v>
      </c>
      <c r="I282" s="25">
        <f>H282/'Parâmetros'!$B$7</f>
        <v>0.4254632915</v>
      </c>
      <c r="J282" s="23">
        <f t="shared" si="3"/>
        <v>540455.517</v>
      </c>
      <c r="K282" s="23">
        <f t="shared" si="4"/>
        <v>793203.6327</v>
      </c>
      <c r="L282" s="29"/>
      <c r="M282" s="23"/>
    </row>
    <row r="283" ht="15.75" customHeight="1">
      <c r="A283" s="22">
        <v>282.0</v>
      </c>
      <c r="B283" s="22">
        <f t="shared" si="1"/>
        <v>24</v>
      </c>
      <c r="C283" s="23">
        <f>C282*(1+'Parâmetros'!$B$16)</f>
        <v>4912.872697</v>
      </c>
      <c r="D283" s="29">
        <f t="shared" si="6"/>
        <v>4912.872697</v>
      </c>
      <c r="E283" s="23">
        <f t="shared" si="5"/>
        <v>1333659.15</v>
      </c>
      <c r="F283" s="23">
        <f>E283*'Parâmetros'!$B$13</f>
        <v>10634.78534</v>
      </c>
      <c r="G283" s="23">
        <f t="shared" si="2"/>
        <v>1349206.808</v>
      </c>
      <c r="H283" s="23">
        <f>G283/(1+'Parâmetros'!$B$14)^A283</f>
        <v>428676.8154</v>
      </c>
      <c r="I283" s="25">
        <f>H283/'Parâmetros'!$B$7</f>
        <v>0.4286768154</v>
      </c>
      <c r="J283" s="23">
        <f t="shared" si="3"/>
        <v>545368.3897</v>
      </c>
      <c r="K283" s="23">
        <f t="shared" si="4"/>
        <v>803838.4181</v>
      </c>
      <c r="L283" s="29"/>
      <c r="M283" s="23"/>
    </row>
    <row r="284" ht="15.75" customHeight="1">
      <c r="A284" s="22">
        <v>283.0</v>
      </c>
      <c r="B284" s="22">
        <f t="shared" si="1"/>
        <v>24</v>
      </c>
      <c r="C284" s="23">
        <f>C283*(1+'Parâmetros'!$B$16)</f>
        <v>4952.985546</v>
      </c>
      <c r="D284" s="29">
        <f t="shared" si="6"/>
        <v>4952.985546</v>
      </c>
      <c r="E284" s="23">
        <f t="shared" si="5"/>
        <v>1349206.808</v>
      </c>
      <c r="F284" s="23">
        <f>E284*'Parâmetros'!$B$13</f>
        <v>10758.76455</v>
      </c>
      <c r="G284" s="23">
        <f t="shared" si="2"/>
        <v>1364918.558</v>
      </c>
      <c r="H284" s="23">
        <f>G284/(1+'Parâmetros'!$B$14)^A284</f>
        <v>431909.1807</v>
      </c>
      <c r="I284" s="25">
        <f>H284/'Parâmetros'!$B$7</f>
        <v>0.4319091807</v>
      </c>
      <c r="J284" s="23">
        <f t="shared" si="3"/>
        <v>550321.3752</v>
      </c>
      <c r="K284" s="23">
        <f t="shared" si="4"/>
        <v>814597.1826</v>
      </c>
      <c r="L284" s="29"/>
      <c r="M284" s="23"/>
    </row>
    <row r="285" ht="15.75" customHeight="1">
      <c r="A285" s="22">
        <v>284.0</v>
      </c>
      <c r="B285" s="22">
        <f t="shared" si="1"/>
        <v>24</v>
      </c>
      <c r="C285" s="23">
        <f>C284*(1+'Parâmetros'!$B$16)</f>
        <v>4993.425911</v>
      </c>
      <c r="D285" s="29">
        <f t="shared" si="6"/>
        <v>4993.425911</v>
      </c>
      <c r="E285" s="23">
        <f t="shared" si="5"/>
        <v>1364918.558</v>
      </c>
      <c r="F285" s="23">
        <f>E285*'Parâmetros'!$B$13</f>
        <v>10884.05225</v>
      </c>
      <c r="G285" s="23">
        <f t="shared" si="2"/>
        <v>1380796.036</v>
      </c>
      <c r="H285" s="23">
        <f>G285/(1+'Parâmetros'!$B$14)^A285</f>
        <v>435160.4865</v>
      </c>
      <c r="I285" s="25">
        <f>H285/'Parâmetros'!$B$7</f>
        <v>0.4351604865</v>
      </c>
      <c r="J285" s="23">
        <f t="shared" si="3"/>
        <v>555314.8011</v>
      </c>
      <c r="K285" s="23">
        <f t="shared" si="4"/>
        <v>825481.2349</v>
      </c>
      <c r="L285" s="29"/>
      <c r="M285" s="23"/>
    </row>
    <row r="286" ht="15.75" customHeight="1">
      <c r="A286" s="22">
        <v>285.0</v>
      </c>
      <c r="B286" s="22">
        <f t="shared" si="1"/>
        <v>24</v>
      </c>
      <c r="C286" s="23">
        <f>C285*(1+'Parâmetros'!$B$16)</f>
        <v>5034.196464</v>
      </c>
      <c r="D286" s="29">
        <f t="shared" si="6"/>
        <v>5034.196464</v>
      </c>
      <c r="E286" s="23">
        <f t="shared" si="5"/>
        <v>1380796.036</v>
      </c>
      <c r="F286" s="23">
        <f>E286*'Parâmetros'!$B$13</f>
        <v>11010.66149</v>
      </c>
      <c r="G286" s="23">
        <f t="shared" si="2"/>
        <v>1396840.894</v>
      </c>
      <c r="H286" s="23">
        <f>G286/(1+'Parâmetros'!$B$14)^A286</f>
        <v>438430.8324</v>
      </c>
      <c r="I286" s="25">
        <f>H286/'Parâmetros'!$B$7</f>
        <v>0.4384308324</v>
      </c>
      <c r="J286" s="23">
        <f t="shared" si="3"/>
        <v>560348.9976</v>
      </c>
      <c r="K286" s="23">
        <f t="shared" si="4"/>
        <v>836491.8964</v>
      </c>
      <c r="L286" s="29"/>
      <c r="M286" s="23"/>
    </row>
    <row r="287" ht="15.75" customHeight="1">
      <c r="A287" s="22">
        <v>286.0</v>
      </c>
      <c r="B287" s="22">
        <f t="shared" si="1"/>
        <v>24</v>
      </c>
      <c r="C287" s="23">
        <f>C286*(1+'Parâmetros'!$B$16)</f>
        <v>5075.299904</v>
      </c>
      <c r="D287" s="29">
        <f t="shared" si="6"/>
        <v>5075.299904</v>
      </c>
      <c r="E287" s="23">
        <f t="shared" si="5"/>
        <v>1396840.894</v>
      </c>
      <c r="F287" s="23">
        <f>E287*'Parâmetros'!$B$13</f>
        <v>11138.60545</v>
      </c>
      <c r="G287" s="23">
        <f t="shared" si="2"/>
        <v>1413054.799</v>
      </c>
      <c r="H287" s="23">
        <f>G287/(1+'Parâmetros'!$B$14)^A287</f>
        <v>441720.3185</v>
      </c>
      <c r="I287" s="25">
        <f>H287/'Parâmetros'!$B$7</f>
        <v>0.4417203185</v>
      </c>
      <c r="J287" s="23">
        <f t="shared" si="3"/>
        <v>565424.2975</v>
      </c>
      <c r="K287" s="23">
        <f t="shared" si="4"/>
        <v>847630.5018</v>
      </c>
      <c r="L287" s="29"/>
      <c r="M287" s="23"/>
    </row>
    <row r="288" ht="15.75" customHeight="1">
      <c r="A288" s="22">
        <v>287.0</v>
      </c>
      <c r="B288" s="22">
        <f t="shared" si="1"/>
        <v>24</v>
      </c>
      <c r="C288" s="23">
        <f>C287*(1+'Parâmetros'!$B$16)</f>
        <v>5116.738946</v>
      </c>
      <c r="D288" s="29">
        <f t="shared" si="6"/>
        <v>5116.738946</v>
      </c>
      <c r="E288" s="23">
        <f t="shared" si="5"/>
        <v>1413054.799</v>
      </c>
      <c r="F288" s="23">
        <f>E288*'Parâmetros'!$B$13</f>
        <v>11267.8974</v>
      </c>
      <c r="G288" s="23">
        <f t="shared" si="2"/>
        <v>1429439.436</v>
      </c>
      <c r="H288" s="23">
        <f>G288/(1+'Parâmetros'!$B$14)^A288</f>
        <v>445029.0453</v>
      </c>
      <c r="I288" s="25">
        <f>H288/'Parâmetros'!$B$7</f>
        <v>0.4450290453</v>
      </c>
      <c r="J288" s="23">
        <f t="shared" si="3"/>
        <v>570541.0365</v>
      </c>
      <c r="K288" s="23">
        <f t="shared" si="4"/>
        <v>858898.3992</v>
      </c>
      <c r="L288" s="29"/>
      <c r="M288" s="23"/>
    </row>
    <row r="289" ht="15.75" customHeight="1">
      <c r="A289" s="22">
        <v>288.0</v>
      </c>
      <c r="B289" s="22">
        <f t="shared" si="1"/>
        <v>24</v>
      </c>
      <c r="C289" s="23">
        <f>C288*(1+'Parâmetros'!$B$16)</f>
        <v>5158.516332</v>
      </c>
      <c r="D289" s="29">
        <f t="shared" si="6"/>
        <v>5158.516332</v>
      </c>
      <c r="E289" s="23">
        <f t="shared" si="5"/>
        <v>1429439.436</v>
      </c>
      <c r="F289" s="23">
        <f>E289*'Parâmetros'!$B$13</f>
        <v>11398.55079</v>
      </c>
      <c r="G289" s="23">
        <f t="shared" si="2"/>
        <v>1445996.503</v>
      </c>
      <c r="H289" s="23">
        <f>G289/(1+'Parâmetros'!$B$14)^A289</f>
        <v>448357.1139</v>
      </c>
      <c r="I289" s="25">
        <f>H289/'Parâmetros'!$B$7</f>
        <v>0.4483571139</v>
      </c>
      <c r="J289" s="23">
        <f t="shared" si="3"/>
        <v>575699.5528</v>
      </c>
      <c r="K289" s="23">
        <f t="shared" si="4"/>
        <v>870296.95</v>
      </c>
      <c r="L289" s="29"/>
      <c r="M289" s="23"/>
    </row>
    <row r="290" ht="15.75" customHeight="1">
      <c r="A290" s="22">
        <v>289.0</v>
      </c>
      <c r="B290" s="22">
        <f t="shared" si="1"/>
        <v>25</v>
      </c>
      <c r="C290" s="23">
        <f>C289*(1+'Parâmetros'!$B$16)</f>
        <v>5200.634823</v>
      </c>
      <c r="D290" s="29">
        <f t="shared" si="6"/>
        <v>5200.634823</v>
      </c>
      <c r="E290" s="23">
        <f t="shared" si="5"/>
        <v>1445996.503</v>
      </c>
      <c r="F290" s="23">
        <f>E290*'Parâmetros'!$B$13</f>
        <v>11530.57917</v>
      </c>
      <c r="G290" s="23">
        <f t="shared" si="2"/>
        <v>1462727.717</v>
      </c>
      <c r="H290" s="23">
        <f>G290/(1+'Parâmetros'!$B$14)^A290</f>
        <v>451704.6259</v>
      </c>
      <c r="I290" s="25">
        <f>H290/'Parâmetros'!$B$7</f>
        <v>0.4517046259</v>
      </c>
      <c r="J290" s="23">
        <f t="shared" si="3"/>
        <v>580900.1876</v>
      </c>
      <c r="K290" s="23">
        <f t="shared" si="4"/>
        <v>881827.5292</v>
      </c>
      <c r="L290" s="29"/>
      <c r="M290" s="23"/>
    </row>
    <row r="291" ht="15.75" customHeight="1">
      <c r="A291" s="22">
        <v>290.0</v>
      </c>
      <c r="B291" s="22">
        <f t="shared" si="1"/>
        <v>25</v>
      </c>
      <c r="C291" s="23">
        <f>C290*(1+'Parâmetros'!$B$16)</f>
        <v>5243.097206</v>
      </c>
      <c r="D291" s="29">
        <f t="shared" si="6"/>
        <v>5243.097206</v>
      </c>
      <c r="E291" s="23">
        <f t="shared" si="5"/>
        <v>1462727.717</v>
      </c>
      <c r="F291" s="23">
        <f>E291*'Parâmetros'!$B$13</f>
        <v>11663.99622</v>
      </c>
      <c r="G291" s="23">
        <f t="shared" si="2"/>
        <v>1479634.81</v>
      </c>
      <c r="H291" s="23">
        <f>G291/(1+'Parâmetros'!$B$14)^A291</f>
        <v>455071.6834</v>
      </c>
      <c r="I291" s="25">
        <f>H291/'Parâmetros'!$B$7</f>
        <v>0.4550716834</v>
      </c>
      <c r="J291" s="23">
        <f t="shared" si="3"/>
        <v>586143.2848</v>
      </c>
      <c r="K291" s="23">
        <f t="shared" si="4"/>
        <v>893491.5254</v>
      </c>
      <c r="L291" s="29"/>
      <c r="M291" s="23"/>
    </row>
    <row r="292" ht="15.75" customHeight="1">
      <c r="A292" s="22">
        <v>291.0</v>
      </c>
      <c r="B292" s="22">
        <f t="shared" si="1"/>
        <v>25</v>
      </c>
      <c r="C292" s="23">
        <f>C291*(1+'Parâmetros'!$B$16)</f>
        <v>5285.906288</v>
      </c>
      <c r="D292" s="29">
        <f t="shared" si="6"/>
        <v>5285.906288</v>
      </c>
      <c r="E292" s="23">
        <f t="shared" si="5"/>
        <v>1479634.81</v>
      </c>
      <c r="F292" s="23">
        <f>E292*'Parâmetros'!$B$13</f>
        <v>11798.81576</v>
      </c>
      <c r="G292" s="23">
        <f t="shared" si="2"/>
        <v>1496719.532</v>
      </c>
      <c r="H292" s="23">
        <f>G292/(1+'Parâmetros'!$B$14)^A292</f>
        <v>458458.3888</v>
      </c>
      <c r="I292" s="25">
        <f>H292/'Parâmetros'!$B$7</f>
        <v>0.4584583888</v>
      </c>
      <c r="J292" s="23">
        <f t="shared" si="3"/>
        <v>591429.1911</v>
      </c>
      <c r="K292" s="23">
        <f t="shared" si="4"/>
        <v>905290.3412</v>
      </c>
      <c r="L292" s="29"/>
      <c r="M292" s="23"/>
    </row>
    <row r="293" ht="15.75" customHeight="1">
      <c r="A293" s="22">
        <v>292.0</v>
      </c>
      <c r="B293" s="22">
        <f t="shared" si="1"/>
        <v>25</v>
      </c>
      <c r="C293" s="23">
        <f>C292*(1+'Parâmetros'!$B$16)</f>
        <v>5329.064899</v>
      </c>
      <c r="D293" s="29">
        <f t="shared" si="6"/>
        <v>5329.064899</v>
      </c>
      <c r="E293" s="23">
        <f t="shared" si="5"/>
        <v>1496719.532</v>
      </c>
      <c r="F293" s="23">
        <f>E293*'Parâmetros'!$B$13</f>
        <v>11935.05173</v>
      </c>
      <c r="G293" s="23">
        <f t="shared" si="2"/>
        <v>1513983.649</v>
      </c>
      <c r="H293" s="23">
        <f>G293/(1+'Parâmetros'!$B$14)^A293</f>
        <v>461864.8454</v>
      </c>
      <c r="I293" s="25">
        <f>H293/'Parâmetros'!$B$7</f>
        <v>0.4618648454</v>
      </c>
      <c r="J293" s="23">
        <f t="shared" si="3"/>
        <v>596758.256</v>
      </c>
      <c r="K293" s="23">
        <f t="shared" si="4"/>
        <v>917225.3929</v>
      </c>
      <c r="L293" s="29"/>
      <c r="M293" s="23"/>
    </row>
    <row r="294" ht="15.75" customHeight="1">
      <c r="A294" s="22">
        <v>293.0</v>
      </c>
      <c r="B294" s="22">
        <f t="shared" si="1"/>
        <v>25</v>
      </c>
      <c r="C294" s="23">
        <f>C293*(1+'Parâmetros'!$B$16)</f>
        <v>5372.575893</v>
      </c>
      <c r="D294" s="29">
        <f t="shared" si="6"/>
        <v>5372.575893</v>
      </c>
      <c r="E294" s="23">
        <f t="shared" si="5"/>
        <v>1513983.649</v>
      </c>
      <c r="F294" s="23">
        <f>E294*'Parâmetros'!$B$13</f>
        <v>12072.71822</v>
      </c>
      <c r="G294" s="23">
        <f t="shared" si="2"/>
        <v>1531428.943</v>
      </c>
      <c r="H294" s="23">
        <f>G294/(1+'Parâmetros'!$B$14)^A294</f>
        <v>465291.1567</v>
      </c>
      <c r="I294" s="25">
        <f>H294/'Parâmetros'!$B$7</f>
        <v>0.4652911567</v>
      </c>
      <c r="J294" s="23">
        <f t="shared" si="3"/>
        <v>602130.8319</v>
      </c>
      <c r="K294" s="23">
        <f t="shared" si="4"/>
        <v>929298.1111</v>
      </c>
      <c r="L294" s="29"/>
      <c r="M294" s="23"/>
    </row>
    <row r="295" ht="15.75" customHeight="1">
      <c r="A295" s="22">
        <v>294.0</v>
      </c>
      <c r="B295" s="22">
        <f t="shared" si="1"/>
        <v>25</v>
      </c>
      <c r="C295" s="23">
        <f>C294*(1+'Parâmetros'!$B$16)</f>
        <v>5416.442148</v>
      </c>
      <c r="D295" s="29">
        <f t="shared" si="6"/>
        <v>5416.442148</v>
      </c>
      <c r="E295" s="23">
        <f t="shared" si="5"/>
        <v>1531428.943</v>
      </c>
      <c r="F295" s="23">
        <f>E295*'Parâmetros'!$B$13</f>
        <v>12211.82945</v>
      </c>
      <c r="G295" s="23">
        <f t="shared" si="2"/>
        <v>1549057.215</v>
      </c>
      <c r="H295" s="23">
        <f>G295/(1+'Parâmetros'!$B$14)^A295</f>
        <v>468737.4268</v>
      </c>
      <c r="I295" s="25">
        <f>H295/'Parâmetros'!$B$7</f>
        <v>0.4687374268</v>
      </c>
      <c r="J295" s="23">
        <f t="shared" si="3"/>
        <v>607547.274</v>
      </c>
      <c r="K295" s="23">
        <f t="shared" si="4"/>
        <v>941509.9406</v>
      </c>
      <c r="L295" s="29"/>
      <c r="M295" s="23"/>
    </row>
    <row r="296" ht="15.75" customHeight="1">
      <c r="A296" s="22">
        <v>295.0</v>
      </c>
      <c r="B296" s="22">
        <f t="shared" si="1"/>
        <v>25</v>
      </c>
      <c r="C296" s="23">
        <f>C295*(1+'Parâmetros'!$B$16)</f>
        <v>5460.666565</v>
      </c>
      <c r="D296" s="29">
        <f t="shared" si="6"/>
        <v>5460.666565</v>
      </c>
      <c r="E296" s="23">
        <f t="shared" si="5"/>
        <v>1549057.215</v>
      </c>
      <c r="F296" s="23">
        <f>E296*'Parâmetros'!$B$13</f>
        <v>12352.39976</v>
      </c>
      <c r="G296" s="23">
        <f t="shared" si="2"/>
        <v>1566870.281</v>
      </c>
      <c r="H296" s="23">
        <f>G296/(1+'Parâmetros'!$B$14)^A296</f>
        <v>472203.7603</v>
      </c>
      <c r="I296" s="25">
        <f>H296/'Parâmetros'!$B$7</f>
        <v>0.4722037603</v>
      </c>
      <c r="J296" s="23">
        <f t="shared" si="3"/>
        <v>613007.9406</v>
      </c>
      <c r="K296" s="23">
        <f t="shared" si="4"/>
        <v>953862.3403</v>
      </c>
      <c r="L296" s="29"/>
      <c r="M296" s="23"/>
    </row>
    <row r="297" ht="15.75" customHeight="1">
      <c r="A297" s="22">
        <v>296.0</v>
      </c>
      <c r="B297" s="22">
        <f t="shared" si="1"/>
        <v>25</v>
      </c>
      <c r="C297" s="23">
        <f>C296*(1+'Parâmetros'!$B$16)</f>
        <v>5505.252066</v>
      </c>
      <c r="D297" s="29">
        <f t="shared" si="6"/>
        <v>5505.252066</v>
      </c>
      <c r="E297" s="23">
        <f t="shared" si="5"/>
        <v>1566870.281</v>
      </c>
      <c r="F297" s="23">
        <f>E297*'Parâmetros'!$B$13</f>
        <v>12494.44365</v>
      </c>
      <c r="G297" s="23">
        <f t="shared" si="2"/>
        <v>1584869.977</v>
      </c>
      <c r="H297" s="23">
        <f>G297/(1+'Parâmetros'!$B$14)^A297</f>
        <v>475690.2624</v>
      </c>
      <c r="I297" s="25">
        <f>H297/'Parâmetros'!$B$7</f>
        <v>0.4756902624</v>
      </c>
      <c r="J297" s="23">
        <f t="shared" si="3"/>
        <v>618513.1927</v>
      </c>
      <c r="K297" s="23">
        <f t="shared" si="4"/>
        <v>966356.784</v>
      </c>
      <c r="L297" s="29"/>
      <c r="M297" s="23"/>
    </row>
    <row r="298" ht="15.75" customHeight="1">
      <c r="A298" s="22">
        <v>297.0</v>
      </c>
      <c r="B298" s="22">
        <f t="shared" si="1"/>
        <v>25</v>
      </c>
      <c r="C298" s="23">
        <f>C297*(1+'Parâmetros'!$B$16)</f>
        <v>5550.201602</v>
      </c>
      <c r="D298" s="29">
        <f t="shared" si="6"/>
        <v>5550.201602</v>
      </c>
      <c r="E298" s="23">
        <f t="shared" si="5"/>
        <v>1584869.977</v>
      </c>
      <c r="F298" s="23">
        <f>E298*'Parâmetros'!$B$13</f>
        <v>12637.97576</v>
      </c>
      <c r="G298" s="23">
        <f t="shared" si="2"/>
        <v>1603058.154</v>
      </c>
      <c r="H298" s="23">
        <f>G298/(1+'Parâmetros'!$B$14)^A298</f>
        <v>479197.0387</v>
      </c>
      <c r="I298" s="25">
        <f>H298/'Parâmetros'!$B$7</f>
        <v>0.4791970387</v>
      </c>
      <c r="J298" s="23">
        <f t="shared" si="3"/>
        <v>624063.3943</v>
      </c>
      <c r="K298" s="23">
        <f t="shared" si="4"/>
        <v>978994.7598</v>
      </c>
      <c r="L298" s="29"/>
      <c r="M298" s="23"/>
    </row>
    <row r="299" ht="15.75" customHeight="1">
      <c r="A299" s="22">
        <v>298.0</v>
      </c>
      <c r="B299" s="22">
        <f t="shared" si="1"/>
        <v>25</v>
      </c>
      <c r="C299" s="23">
        <f>C298*(1+'Parâmetros'!$B$16)</f>
        <v>5595.518144</v>
      </c>
      <c r="D299" s="29">
        <f t="shared" si="6"/>
        <v>5595.518144</v>
      </c>
      <c r="E299" s="23">
        <f t="shared" si="5"/>
        <v>1603058.154</v>
      </c>
      <c r="F299" s="23">
        <f>E299*'Parâmetros'!$B$13</f>
        <v>12783.01084</v>
      </c>
      <c r="G299" s="23">
        <f t="shared" si="2"/>
        <v>1621436.683</v>
      </c>
      <c r="H299" s="23">
        <f>G299/(1+'Parâmetros'!$B$14)^A299</f>
        <v>482724.1953</v>
      </c>
      <c r="I299" s="25">
        <f>H299/'Parâmetros'!$B$7</f>
        <v>0.4827241953</v>
      </c>
      <c r="J299" s="23">
        <f t="shared" si="3"/>
        <v>629658.9124</v>
      </c>
      <c r="K299" s="23">
        <f t="shared" si="4"/>
        <v>991777.7706</v>
      </c>
      <c r="L299" s="29"/>
      <c r="M299" s="23"/>
    </row>
    <row r="300" ht="15.75" customHeight="1">
      <c r="A300" s="22">
        <v>299.0</v>
      </c>
      <c r="B300" s="22">
        <f t="shared" si="1"/>
        <v>25</v>
      </c>
      <c r="C300" s="23">
        <f>C299*(1+'Parâmetros'!$B$16)</f>
        <v>5641.204688</v>
      </c>
      <c r="D300" s="29">
        <f t="shared" si="6"/>
        <v>5641.204688</v>
      </c>
      <c r="E300" s="23">
        <f t="shared" si="5"/>
        <v>1621436.683</v>
      </c>
      <c r="F300" s="23">
        <f>E300*'Parâmetros'!$B$13</f>
        <v>12929.56381</v>
      </c>
      <c r="G300" s="23">
        <f t="shared" si="2"/>
        <v>1640007.452</v>
      </c>
      <c r="H300" s="23">
        <f>G300/(1+'Parâmetros'!$B$14)^A300</f>
        <v>486271.8391</v>
      </c>
      <c r="I300" s="25">
        <f>H300/'Parâmetros'!$B$7</f>
        <v>0.4862718391</v>
      </c>
      <c r="J300" s="23">
        <f t="shared" si="3"/>
        <v>635300.1171</v>
      </c>
      <c r="K300" s="23">
        <f t="shared" si="4"/>
        <v>1004707.334</v>
      </c>
      <c r="L300" s="29"/>
      <c r="M300" s="23"/>
    </row>
    <row r="301" ht="15.75" customHeight="1">
      <c r="A301" s="22">
        <v>300.0</v>
      </c>
      <c r="B301" s="22">
        <f t="shared" si="1"/>
        <v>25</v>
      </c>
      <c r="C301" s="23">
        <f>C300*(1+'Parâmetros'!$B$16)</f>
        <v>5687.264256</v>
      </c>
      <c r="D301" s="29">
        <f t="shared" si="6"/>
        <v>5687.264256</v>
      </c>
      <c r="E301" s="23">
        <f t="shared" si="5"/>
        <v>1640007.452</v>
      </c>
      <c r="F301" s="23">
        <f>E301*'Parâmetros'!$B$13</f>
        <v>13077.64972</v>
      </c>
      <c r="G301" s="23">
        <f t="shared" si="2"/>
        <v>1658772.365</v>
      </c>
      <c r="H301" s="23">
        <f>G301/(1+'Parâmetros'!$B$14)^A301</f>
        <v>489840.0771</v>
      </c>
      <c r="I301" s="25">
        <f>H301/'Parâmetros'!$B$7</f>
        <v>0.4898400771</v>
      </c>
      <c r="J301" s="23">
        <f t="shared" si="3"/>
        <v>640987.3814</v>
      </c>
      <c r="K301" s="23">
        <f t="shared" si="4"/>
        <v>1017784.984</v>
      </c>
      <c r="L301" s="29"/>
      <c r="M301" s="23"/>
    </row>
    <row r="302" ht="15.75" customHeight="1">
      <c r="A302" s="22">
        <v>301.0</v>
      </c>
      <c r="B302" s="22">
        <f t="shared" si="1"/>
        <v>26</v>
      </c>
      <c r="C302" s="23">
        <f>C301*(1+'Parâmetros'!$B$16)</f>
        <v>5733.699893</v>
      </c>
      <c r="D302" s="29">
        <f t="shared" si="6"/>
        <v>5733.699893</v>
      </c>
      <c r="E302" s="23">
        <f t="shared" si="5"/>
        <v>1658772.365</v>
      </c>
      <c r="F302" s="23">
        <f>E302*'Parâmetros'!$B$13</f>
        <v>13227.28378</v>
      </c>
      <c r="G302" s="23">
        <f t="shared" si="2"/>
        <v>1677733.349</v>
      </c>
      <c r="H302" s="23">
        <f>G302/(1+'Parâmetros'!$B$14)^A302</f>
        <v>493429.0173</v>
      </c>
      <c r="I302" s="25">
        <f>H302/'Parâmetros'!$B$7</f>
        <v>0.4934290173</v>
      </c>
      <c r="J302" s="23">
        <f t="shared" si="3"/>
        <v>646721.0813</v>
      </c>
      <c r="K302" s="23">
        <f t="shared" si="4"/>
        <v>1031012.268</v>
      </c>
      <c r="L302" s="29"/>
      <c r="M302" s="23"/>
    </row>
    <row r="303" ht="15.75" customHeight="1">
      <c r="A303" s="22">
        <v>302.0</v>
      </c>
      <c r="B303" s="22">
        <f t="shared" si="1"/>
        <v>26</v>
      </c>
      <c r="C303" s="23">
        <f>C302*(1+'Parâmetros'!$B$16)</f>
        <v>5780.51467</v>
      </c>
      <c r="D303" s="29">
        <f t="shared" si="6"/>
        <v>5780.51467</v>
      </c>
      <c r="E303" s="23">
        <f t="shared" si="5"/>
        <v>1677733.349</v>
      </c>
      <c r="F303" s="23">
        <f>E303*'Parâmetros'!$B$13</f>
        <v>13378.48133</v>
      </c>
      <c r="G303" s="23">
        <f t="shared" si="2"/>
        <v>1696892.345</v>
      </c>
      <c r="H303" s="23">
        <f>G303/(1+'Parâmetros'!$B$14)^A303</f>
        <v>497038.7678</v>
      </c>
      <c r="I303" s="25">
        <f>H303/'Parâmetros'!$B$7</f>
        <v>0.4970387678</v>
      </c>
      <c r="J303" s="23">
        <f t="shared" si="3"/>
        <v>652501.5959</v>
      </c>
      <c r="K303" s="23">
        <f t="shared" si="4"/>
        <v>1044390.749</v>
      </c>
      <c r="L303" s="29"/>
      <c r="M303" s="23"/>
    </row>
    <row r="304" ht="15.75" customHeight="1">
      <c r="A304" s="30">
        <v>303.0</v>
      </c>
      <c r="B304" s="30">
        <f t="shared" si="1"/>
        <v>26</v>
      </c>
      <c r="C304" s="31">
        <f>C303*(1+'Parâmetros'!$B$16)</f>
        <v>5827.711682</v>
      </c>
      <c r="D304" s="32">
        <f t="shared" si="6"/>
        <v>5827.711682</v>
      </c>
      <c r="E304" s="31">
        <f t="shared" si="5"/>
        <v>1696892.345</v>
      </c>
      <c r="F304" s="31">
        <f>E304*'Parâmetros'!$B$13</f>
        <v>13531.25785</v>
      </c>
      <c r="G304" s="31">
        <f t="shared" si="2"/>
        <v>1716251.315</v>
      </c>
      <c r="H304" s="31">
        <f>G304/(1+'Parâmetros'!$B$14)^A304</f>
        <v>500669.4375</v>
      </c>
      <c r="I304" s="33">
        <f>H304/'Parâmetros'!$B$7</f>
        <v>0.5006694375</v>
      </c>
      <c r="J304" s="31">
        <f t="shared" si="3"/>
        <v>658329.3076</v>
      </c>
      <c r="K304" s="31">
        <f t="shared" si="4"/>
        <v>1057922.007</v>
      </c>
      <c r="L304" s="29"/>
      <c r="M304" s="23"/>
    </row>
    <row r="305" ht="15.75" customHeight="1">
      <c r="A305" s="22">
        <v>304.0</v>
      </c>
      <c r="B305" s="22">
        <f t="shared" si="1"/>
        <v>26</v>
      </c>
      <c r="C305" s="23">
        <f>C304*(1+'Parâmetros'!$B$16)</f>
        <v>5875.294051</v>
      </c>
      <c r="D305" s="29">
        <f t="shared" si="6"/>
        <v>5875.294051</v>
      </c>
      <c r="E305" s="23">
        <f t="shared" si="5"/>
        <v>1716251.315</v>
      </c>
      <c r="F305" s="23">
        <f>E305*'Parâmetros'!$B$13</f>
        <v>13685.62899</v>
      </c>
      <c r="G305" s="23">
        <f t="shared" si="2"/>
        <v>1735812.238</v>
      </c>
      <c r="H305" s="23">
        <f>G305/(1+'Parâmetros'!$B$14)^A305</f>
        <v>504321.1357</v>
      </c>
      <c r="I305" s="25">
        <f>H305/'Parâmetros'!$B$7</f>
        <v>0.5043211357</v>
      </c>
      <c r="J305" s="23">
        <f t="shared" si="3"/>
        <v>664204.6017</v>
      </c>
      <c r="K305" s="23">
        <f t="shared" si="4"/>
        <v>1071607.636</v>
      </c>
      <c r="L305" s="29"/>
      <c r="M305" s="23"/>
    </row>
    <row r="306" ht="15.75" customHeight="1">
      <c r="A306" s="22">
        <v>305.0</v>
      </c>
      <c r="B306" s="22">
        <f t="shared" si="1"/>
        <v>26</v>
      </c>
      <c r="C306" s="23">
        <f>C305*(1+'Parâmetros'!$B$16)</f>
        <v>5923.264922</v>
      </c>
      <c r="D306" s="29">
        <f t="shared" si="6"/>
        <v>5923.264922</v>
      </c>
      <c r="E306" s="23">
        <f t="shared" si="5"/>
        <v>1735812.238</v>
      </c>
      <c r="F306" s="23">
        <f>E306*'Parâmetros'!$B$13</f>
        <v>13841.61054</v>
      </c>
      <c r="G306" s="23">
        <f t="shared" si="2"/>
        <v>1755577.113</v>
      </c>
      <c r="H306" s="23">
        <f>G306/(1+'Parâmetros'!$B$14)^A306</f>
        <v>507993.9723</v>
      </c>
      <c r="I306" s="25">
        <f>H306/'Parâmetros'!$B$7</f>
        <v>0.5079939723</v>
      </c>
      <c r="J306" s="23">
        <f t="shared" si="3"/>
        <v>670127.8666</v>
      </c>
      <c r="K306" s="23">
        <f t="shared" si="4"/>
        <v>1085449.247</v>
      </c>
      <c r="L306" s="29"/>
      <c r="M306" s="23"/>
    </row>
    <row r="307" ht="15.75" customHeight="1">
      <c r="A307" s="22">
        <v>306.0</v>
      </c>
      <c r="B307" s="22">
        <f t="shared" si="1"/>
        <v>26</v>
      </c>
      <c r="C307" s="23">
        <f>C306*(1+'Parâmetros'!$B$16)</f>
        <v>5971.627469</v>
      </c>
      <c r="D307" s="29">
        <f t="shared" si="6"/>
        <v>5971.627469</v>
      </c>
      <c r="E307" s="23">
        <f t="shared" si="5"/>
        <v>1755577.113</v>
      </c>
      <c r="F307" s="23">
        <f>E307*'Parâmetros'!$B$13</f>
        <v>13999.21843</v>
      </c>
      <c r="G307" s="23">
        <f t="shared" si="2"/>
        <v>1775547.959</v>
      </c>
      <c r="H307" s="23">
        <f>G307/(1+'Parâmetros'!$B$14)^A307</f>
        <v>511688.0578</v>
      </c>
      <c r="I307" s="25">
        <f>H307/'Parâmetros'!$B$7</f>
        <v>0.5116880578</v>
      </c>
      <c r="J307" s="23">
        <f t="shared" si="3"/>
        <v>676099.4941</v>
      </c>
      <c r="K307" s="23">
        <f t="shared" si="4"/>
        <v>1099448.465</v>
      </c>
      <c r="L307" s="29"/>
      <c r="M307" s="23"/>
    </row>
    <row r="308" ht="15.75" customHeight="1">
      <c r="A308" s="22">
        <v>307.0</v>
      </c>
      <c r="B308" s="22">
        <f t="shared" si="1"/>
        <v>26</v>
      </c>
      <c r="C308" s="23">
        <f>C307*(1+'Parâmetros'!$B$16)</f>
        <v>6020.384888</v>
      </c>
      <c r="D308" s="29">
        <f t="shared" si="6"/>
        <v>6020.384888</v>
      </c>
      <c r="E308" s="23">
        <f t="shared" si="5"/>
        <v>1775547.959</v>
      </c>
      <c r="F308" s="23">
        <f>E308*'Parâmetros'!$B$13</f>
        <v>14158.46876</v>
      </c>
      <c r="G308" s="23">
        <f t="shared" si="2"/>
        <v>1795726.813</v>
      </c>
      <c r="H308" s="23">
        <f>G308/(1+'Parâmetros'!$B$14)^A308</f>
        <v>515403.5032</v>
      </c>
      <c r="I308" s="25">
        <f>H308/'Parâmetros'!$B$7</f>
        <v>0.5154035032</v>
      </c>
      <c r="J308" s="23">
        <f t="shared" si="3"/>
        <v>682119.8789</v>
      </c>
      <c r="K308" s="23">
        <f t="shared" si="4"/>
        <v>1113606.934</v>
      </c>
      <c r="L308" s="29"/>
      <c r="M308" s="23"/>
    </row>
    <row r="309" ht="15.75" customHeight="1">
      <c r="A309" s="22">
        <v>308.0</v>
      </c>
      <c r="B309" s="22">
        <f t="shared" si="1"/>
        <v>26</v>
      </c>
      <c r="C309" s="23">
        <f>C308*(1+'Parâmetros'!$B$16)</f>
        <v>6069.540403</v>
      </c>
      <c r="D309" s="29">
        <f t="shared" si="6"/>
        <v>6069.540403</v>
      </c>
      <c r="E309" s="23">
        <f t="shared" si="5"/>
        <v>1795726.813</v>
      </c>
      <c r="F309" s="23">
        <f>E309*'Parâmetros'!$B$13</f>
        <v>14319.37778</v>
      </c>
      <c r="G309" s="23">
        <f t="shared" si="2"/>
        <v>1816115.731</v>
      </c>
      <c r="H309" s="23">
        <f>G309/(1+'Parâmetros'!$B$14)^A309</f>
        <v>519140.42</v>
      </c>
      <c r="I309" s="25">
        <f>H309/'Parâmetros'!$B$7</f>
        <v>0.51914042</v>
      </c>
      <c r="J309" s="23">
        <f t="shared" si="3"/>
        <v>688189.4193</v>
      </c>
      <c r="K309" s="23">
        <f t="shared" si="4"/>
        <v>1127926.312</v>
      </c>
      <c r="L309" s="29"/>
      <c r="M309" s="23"/>
    </row>
    <row r="310" ht="15.75" customHeight="1">
      <c r="A310" s="22">
        <v>309.0</v>
      </c>
      <c r="B310" s="22">
        <f t="shared" si="1"/>
        <v>26</v>
      </c>
      <c r="C310" s="23">
        <f>C309*(1+'Parâmetros'!$B$16)</f>
        <v>6119.097266</v>
      </c>
      <c r="D310" s="29">
        <f t="shared" si="6"/>
        <v>6119.097266</v>
      </c>
      <c r="E310" s="23">
        <f t="shared" si="5"/>
        <v>1816115.731</v>
      </c>
      <c r="F310" s="23">
        <f>E310*'Parâmetros'!$B$13</f>
        <v>14481.96187</v>
      </c>
      <c r="G310" s="23">
        <f t="shared" si="2"/>
        <v>1836716.79</v>
      </c>
      <c r="H310" s="23">
        <f>G310/(1+'Parâmetros'!$B$14)^A310</f>
        <v>522898.9202</v>
      </c>
      <c r="I310" s="25">
        <f>H310/'Parâmetros'!$B$7</f>
        <v>0.5228989202</v>
      </c>
      <c r="J310" s="23">
        <f t="shared" si="3"/>
        <v>694308.5166</v>
      </c>
      <c r="K310" s="23">
        <f t="shared" si="4"/>
        <v>1142408.273</v>
      </c>
      <c r="L310" s="29"/>
      <c r="M310" s="23"/>
    </row>
    <row r="311" ht="15.75" customHeight="1">
      <c r="A311" s="22">
        <v>310.0</v>
      </c>
      <c r="B311" s="22">
        <f t="shared" si="1"/>
        <v>26</v>
      </c>
      <c r="C311" s="23">
        <f>C310*(1+'Parâmetros'!$B$16)</f>
        <v>6169.058753</v>
      </c>
      <c r="D311" s="29">
        <f t="shared" si="6"/>
        <v>6169.058753</v>
      </c>
      <c r="E311" s="23">
        <f t="shared" si="5"/>
        <v>1836716.79</v>
      </c>
      <c r="F311" s="23">
        <f>E311*'Parâmetros'!$B$13</f>
        <v>14646.23761</v>
      </c>
      <c r="G311" s="23">
        <f t="shared" si="2"/>
        <v>1857532.086</v>
      </c>
      <c r="H311" s="23">
        <f>G311/(1+'Parâmetros'!$B$14)^A311</f>
        <v>526679.1165</v>
      </c>
      <c r="I311" s="25">
        <f>H311/'Parâmetros'!$B$7</f>
        <v>0.5266791165</v>
      </c>
      <c r="J311" s="23">
        <f t="shared" si="3"/>
        <v>700477.5754</v>
      </c>
      <c r="K311" s="23">
        <f t="shared" si="4"/>
        <v>1157054.511</v>
      </c>
      <c r="L311" s="29"/>
      <c r="M311" s="23"/>
    </row>
    <row r="312" ht="15.75" customHeight="1">
      <c r="A312" s="22">
        <v>311.0</v>
      </c>
      <c r="B312" s="22">
        <f t="shared" si="1"/>
        <v>26</v>
      </c>
      <c r="C312" s="23">
        <f>C311*(1+'Parâmetros'!$B$16)</f>
        <v>6219.428168</v>
      </c>
      <c r="D312" s="29">
        <f t="shared" si="6"/>
        <v>6219.428168</v>
      </c>
      <c r="E312" s="23">
        <f t="shared" si="5"/>
        <v>1857532.086</v>
      </c>
      <c r="F312" s="23">
        <f>E312*'Parâmetros'!$B$13</f>
        <v>14812.22171</v>
      </c>
      <c r="G312" s="23">
        <f t="shared" si="2"/>
        <v>1878563.736</v>
      </c>
      <c r="H312" s="23">
        <f>G312/(1+'Parâmetros'!$B$14)^A312</f>
        <v>530481.1222</v>
      </c>
      <c r="I312" s="25">
        <f>H312/'Parâmetros'!$B$7</f>
        <v>0.5304811222</v>
      </c>
      <c r="J312" s="23">
        <f t="shared" si="3"/>
        <v>706697.0035</v>
      </c>
      <c r="K312" s="23">
        <f t="shared" si="4"/>
        <v>1171866.733</v>
      </c>
      <c r="L312" s="29"/>
      <c r="M312" s="23"/>
    </row>
    <row r="313" ht="15.75" customHeight="1">
      <c r="A313" s="22">
        <v>312.0</v>
      </c>
      <c r="B313" s="22">
        <f t="shared" si="1"/>
        <v>26</v>
      </c>
      <c r="C313" s="23">
        <f>C312*(1+'Parâmetros'!$B$16)</f>
        <v>6270.208842</v>
      </c>
      <c r="D313" s="29">
        <f t="shared" si="6"/>
        <v>6270.208842</v>
      </c>
      <c r="E313" s="23">
        <f t="shared" si="5"/>
        <v>1878563.736</v>
      </c>
      <c r="F313" s="23">
        <f>E313*'Parâmetros'!$B$13</f>
        <v>14979.93104</v>
      </c>
      <c r="G313" s="23">
        <f t="shared" si="2"/>
        <v>1899813.876</v>
      </c>
      <c r="H313" s="23">
        <f>G313/(1+'Parâmetros'!$B$14)^A313</f>
        <v>534305.0508</v>
      </c>
      <c r="I313" s="25">
        <f>H313/'Parâmetros'!$B$7</f>
        <v>0.5343050508</v>
      </c>
      <c r="J313" s="23">
        <f t="shared" si="3"/>
        <v>712967.2124</v>
      </c>
      <c r="K313" s="23">
        <f t="shared" si="4"/>
        <v>1186846.664</v>
      </c>
      <c r="L313" s="29"/>
      <c r="M313" s="23"/>
    </row>
    <row r="314" ht="15.75" customHeight="1">
      <c r="A314" s="22">
        <v>313.0</v>
      </c>
      <c r="B314" s="22">
        <f t="shared" si="1"/>
        <v>27</v>
      </c>
      <c r="C314" s="23">
        <f>C313*(1+'Parâmetros'!$B$16)</f>
        <v>6321.404132</v>
      </c>
      <c r="D314" s="29">
        <f t="shared" si="6"/>
        <v>6321.404132</v>
      </c>
      <c r="E314" s="23">
        <f t="shared" si="5"/>
        <v>1899813.876</v>
      </c>
      <c r="F314" s="23">
        <f>E314*'Parâmetros'!$B$13</f>
        <v>15149.38264</v>
      </c>
      <c r="G314" s="23">
        <f t="shared" si="2"/>
        <v>1921284.663</v>
      </c>
      <c r="H314" s="23">
        <f>G314/(1+'Parâmetros'!$B$14)^A314</f>
        <v>538151.0168</v>
      </c>
      <c r="I314" s="25">
        <f>H314/'Parâmetros'!$B$7</f>
        <v>0.5381510168</v>
      </c>
      <c r="J314" s="23">
        <f t="shared" si="3"/>
        <v>719288.6165</v>
      </c>
      <c r="K314" s="23">
        <f t="shared" si="4"/>
        <v>1201996.046</v>
      </c>
      <c r="L314" s="29"/>
      <c r="M314" s="23"/>
    </row>
    <row r="315" ht="15.75" customHeight="1">
      <c r="A315" s="22">
        <v>314.0</v>
      </c>
      <c r="B315" s="22">
        <f t="shared" si="1"/>
        <v>27</v>
      </c>
      <c r="C315" s="23">
        <f>C314*(1+'Parâmetros'!$B$16)</f>
        <v>6373.017423</v>
      </c>
      <c r="D315" s="29">
        <f t="shared" si="6"/>
        <v>6373.017423</v>
      </c>
      <c r="E315" s="23">
        <f t="shared" si="5"/>
        <v>1921284.663</v>
      </c>
      <c r="F315" s="23">
        <f>E315*'Parâmetros'!$B$13</f>
        <v>15320.59371</v>
      </c>
      <c r="G315" s="23">
        <f t="shared" si="2"/>
        <v>1942978.274</v>
      </c>
      <c r="H315" s="23">
        <f>G315/(1+'Parâmetros'!$B$14)^A315</f>
        <v>542019.135</v>
      </c>
      <c r="I315" s="25">
        <f>H315/'Parâmetros'!$B$7</f>
        <v>0.542019135</v>
      </c>
      <c r="J315" s="23">
        <f t="shared" si="3"/>
        <v>725661.6339</v>
      </c>
      <c r="K315" s="23">
        <f t="shared" si="4"/>
        <v>1217316.64</v>
      </c>
      <c r="L315" s="29"/>
      <c r="M315" s="23"/>
    </row>
    <row r="316" ht="15.75" customHeight="1">
      <c r="A316" s="22">
        <v>315.0</v>
      </c>
      <c r="B316" s="22">
        <f t="shared" si="1"/>
        <v>27</v>
      </c>
      <c r="C316" s="23">
        <f>C315*(1+'Parâmetros'!$B$16)</f>
        <v>6425.05213</v>
      </c>
      <c r="D316" s="29">
        <f t="shared" si="6"/>
        <v>6425.05213</v>
      </c>
      <c r="E316" s="23">
        <f t="shared" si="5"/>
        <v>1942978.274</v>
      </c>
      <c r="F316" s="23">
        <f>E316*'Parâmetros'!$B$13</f>
        <v>15493.58161</v>
      </c>
      <c r="G316" s="23">
        <f t="shared" si="2"/>
        <v>1964896.908</v>
      </c>
      <c r="H316" s="23">
        <f>G316/(1+'Parâmetros'!$B$14)^A316</f>
        <v>545909.5208</v>
      </c>
      <c r="I316" s="25">
        <f>H316/'Parâmetros'!$B$7</f>
        <v>0.5459095208</v>
      </c>
      <c r="J316" s="23">
        <f t="shared" si="3"/>
        <v>732086.6861</v>
      </c>
      <c r="K316" s="23">
        <f t="shared" si="4"/>
        <v>1232810.222</v>
      </c>
      <c r="L316" s="29"/>
      <c r="M316" s="23"/>
    </row>
    <row r="317" ht="15.75" customHeight="1">
      <c r="A317" s="22">
        <v>316.0</v>
      </c>
      <c r="B317" s="22">
        <f t="shared" si="1"/>
        <v>27</v>
      </c>
      <c r="C317" s="23">
        <f>C316*(1+'Parâmetros'!$B$16)</f>
        <v>6477.511691</v>
      </c>
      <c r="D317" s="29">
        <f t="shared" si="6"/>
        <v>6477.511691</v>
      </c>
      <c r="E317" s="23">
        <f t="shared" si="5"/>
        <v>1964896.908</v>
      </c>
      <c r="F317" s="23">
        <f>E317*'Parâmetros'!$B$13</f>
        <v>15668.36387</v>
      </c>
      <c r="G317" s="23">
        <f t="shared" si="2"/>
        <v>1987042.783</v>
      </c>
      <c r="H317" s="23">
        <f>G317/(1+'Parâmetros'!$B$14)^A317</f>
        <v>549822.2903</v>
      </c>
      <c r="I317" s="25">
        <f>H317/'Parâmetros'!$B$7</f>
        <v>0.5498222903</v>
      </c>
      <c r="J317" s="23">
        <f t="shared" si="3"/>
        <v>738564.1978</v>
      </c>
      <c r="K317" s="23">
        <f t="shared" si="4"/>
        <v>1248478.586</v>
      </c>
      <c r="L317" s="29"/>
      <c r="M317" s="23"/>
    </row>
    <row r="318" ht="15.75" customHeight="1">
      <c r="A318" s="22">
        <v>317.0</v>
      </c>
      <c r="B318" s="22">
        <f t="shared" si="1"/>
        <v>27</v>
      </c>
      <c r="C318" s="23">
        <f>C317*(1+'Parâmetros'!$B$16)</f>
        <v>6530.399577</v>
      </c>
      <c r="D318" s="29">
        <f t="shared" si="6"/>
        <v>6530.399577</v>
      </c>
      <c r="E318" s="23">
        <f t="shared" si="5"/>
        <v>1987042.783</v>
      </c>
      <c r="F318" s="23">
        <f>E318*'Parâmetros'!$B$13</f>
        <v>15844.95819</v>
      </c>
      <c r="G318" s="23">
        <f t="shared" si="2"/>
        <v>2009418.141</v>
      </c>
      <c r="H318" s="23">
        <f>G318/(1+'Parâmetros'!$B$14)^A318</f>
        <v>553757.56</v>
      </c>
      <c r="I318" s="25">
        <f>H318/'Parâmetros'!$B$7</f>
        <v>0.55375756</v>
      </c>
      <c r="J318" s="23">
        <f t="shared" si="3"/>
        <v>745094.5973</v>
      </c>
      <c r="K318" s="23">
        <f t="shared" si="4"/>
        <v>1264323.544</v>
      </c>
      <c r="L318" s="29"/>
      <c r="M318" s="23"/>
    </row>
    <row r="319" ht="15.75" customHeight="1">
      <c r="A319" s="22">
        <v>318.0</v>
      </c>
      <c r="B319" s="22">
        <f t="shared" si="1"/>
        <v>27</v>
      </c>
      <c r="C319" s="23">
        <f>C318*(1+'Parâmetros'!$B$16)</f>
        <v>6583.719284</v>
      </c>
      <c r="D319" s="29">
        <f t="shared" si="6"/>
        <v>6583.719284</v>
      </c>
      <c r="E319" s="23">
        <f t="shared" si="5"/>
        <v>2009418.141</v>
      </c>
      <c r="F319" s="23">
        <f>E319*'Parâmetros'!$B$13</f>
        <v>16023.38244</v>
      </c>
      <c r="G319" s="23">
        <f t="shared" si="2"/>
        <v>2032025.243</v>
      </c>
      <c r="H319" s="23">
        <f>G319/(1+'Parâmetros'!$B$14)^A319</f>
        <v>557715.4471</v>
      </c>
      <c r="I319" s="25">
        <f>H319/'Parâmetros'!$B$7</f>
        <v>0.5577154471</v>
      </c>
      <c r="J319" s="23">
        <f t="shared" si="3"/>
        <v>751678.3166</v>
      </c>
      <c r="K319" s="23">
        <f t="shared" si="4"/>
        <v>1280346.926</v>
      </c>
      <c r="L319" s="29"/>
      <c r="M319" s="23"/>
    </row>
    <row r="320" ht="15.75" customHeight="1">
      <c r="A320" s="22">
        <v>319.0</v>
      </c>
      <c r="B320" s="22">
        <f t="shared" si="1"/>
        <v>27</v>
      </c>
      <c r="C320" s="23">
        <f>C319*(1+'Parâmetros'!$B$16)</f>
        <v>6637.474338</v>
      </c>
      <c r="D320" s="29">
        <f t="shared" si="6"/>
        <v>6637.474338</v>
      </c>
      <c r="E320" s="23">
        <f t="shared" si="5"/>
        <v>2032025.243</v>
      </c>
      <c r="F320" s="23">
        <f>E320*'Parâmetros'!$B$13</f>
        <v>16203.65464</v>
      </c>
      <c r="G320" s="23">
        <f t="shared" si="2"/>
        <v>2054866.372</v>
      </c>
      <c r="H320" s="23">
        <f>G320/(1+'Parâmetros'!$B$14)^A320</f>
        <v>561696.0692</v>
      </c>
      <c r="I320" s="25">
        <f>H320/'Parâmetros'!$B$7</f>
        <v>0.5616960692</v>
      </c>
      <c r="J320" s="23">
        <f t="shared" si="3"/>
        <v>758315.791</v>
      </c>
      <c r="K320" s="23">
        <f t="shared" si="4"/>
        <v>1296550.581</v>
      </c>
      <c r="L320" s="29"/>
      <c r="M320" s="23"/>
    </row>
    <row r="321" ht="15.75" customHeight="1">
      <c r="A321" s="22">
        <v>320.0</v>
      </c>
      <c r="B321" s="22">
        <f t="shared" si="1"/>
        <v>27</v>
      </c>
      <c r="C321" s="23">
        <f>C320*(1+'Parâmetros'!$B$16)</f>
        <v>6691.668295</v>
      </c>
      <c r="D321" s="29">
        <f t="shared" si="6"/>
        <v>6691.668295</v>
      </c>
      <c r="E321" s="23">
        <f t="shared" si="5"/>
        <v>2054866.372</v>
      </c>
      <c r="F321" s="23">
        <f>E321*'Parâmetros'!$B$13</f>
        <v>16385.79301</v>
      </c>
      <c r="G321" s="23">
        <f t="shared" si="2"/>
        <v>2077943.833</v>
      </c>
      <c r="H321" s="23">
        <f>G321/(1+'Parâmetros'!$B$14)^A321</f>
        <v>565699.5447</v>
      </c>
      <c r="I321" s="25">
        <f>H321/'Parâmetros'!$B$7</f>
        <v>0.5656995447</v>
      </c>
      <c r="J321" s="23">
        <f t="shared" si="3"/>
        <v>765007.4592</v>
      </c>
      <c r="K321" s="23">
        <f t="shared" si="4"/>
        <v>1312936.374</v>
      </c>
      <c r="L321" s="29"/>
      <c r="M321" s="23"/>
    </row>
    <row r="322" ht="15.75" customHeight="1">
      <c r="A322" s="22">
        <v>321.0</v>
      </c>
      <c r="B322" s="22">
        <f t="shared" si="1"/>
        <v>27</v>
      </c>
      <c r="C322" s="23">
        <f>C321*(1+'Parâmetros'!$B$16)</f>
        <v>6746.304736</v>
      </c>
      <c r="D322" s="29">
        <f t="shared" si="6"/>
        <v>6746.304736</v>
      </c>
      <c r="E322" s="23">
        <f t="shared" si="5"/>
        <v>2077943.833</v>
      </c>
      <c r="F322" s="23">
        <f>E322*'Parâmetros'!$B$13</f>
        <v>16569.81593</v>
      </c>
      <c r="G322" s="23">
        <f t="shared" si="2"/>
        <v>2101259.954</v>
      </c>
      <c r="H322" s="23">
        <f>G322/(1+'Parâmetros'!$B$14)^A322</f>
        <v>569725.9925</v>
      </c>
      <c r="I322" s="25">
        <f>H322/'Parâmetros'!$B$7</f>
        <v>0.5697259925</v>
      </c>
      <c r="J322" s="23">
        <f t="shared" si="3"/>
        <v>771753.764</v>
      </c>
      <c r="K322" s="23">
        <f t="shared" si="4"/>
        <v>1329506.19</v>
      </c>
      <c r="L322" s="29"/>
      <c r="M322" s="23"/>
    </row>
    <row r="323" ht="15.75" customHeight="1">
      <c r="A323" s="22">
        <v>322.0</v>
      </c>
      <c r="B323" s="22">
        <f t="shared" si="1"/>
        <v>27</v>
      </c>
      <c r="C323" s="23">
        <f>C322*(1+'Parâmetros'!$B$16)</f>
        <v>6801.387276</v>
      </c>
      <c r="D323" s="29">
        <f t="shared" si="6"/>
        <v>6801.387276</v>
      </c>
      <c r="E323" s="23">
        <f t="shared" si="5"/>
        <v>2101259.954</v>
      </c>
      <c r="F323" s="23">
        <f>E323*'Parâmetros'!$B$13</f>
        <v>16755.74195</v>
      </c>
      <c r="G323" s="23">
        <f t="shared" si="2"/>
        <v>2124817.083</v>
      </c>
      <c r="H323" s="23">
        <f>G323/(1+'Parâmetros'!$B$14)^A323</f>
        <v>573775.532</v>
      </c>
      <c r="I323" s="25">
        <f>H323/'Parâmetros'!$B$7</f>
        <v>0.573775532</v>
      </c>
      <c r="J323" s="23">
        <f t="shared" si="3"/>
        <v>778555.1513</v>
      </c>
      <c r="K323" s="23">
        <f t="shared" si="4"/>
        <v>1346261.932</v>
      </c>
      <c r="L323" s="29"/>
      <c r="M323" s="23"/>
    </row>
    <row r="324" ht="15.75" customHeight="1">
      <c r="A324" s="22">
        <v>323.0</v>
      </c>
      <c r="B324" s="22">
        <f t="shared" si="1"/>
        <v>27</v>
      </c>
      <c r="C324" s="23">
        <f>C323*(1+'Parâmetros'!$B$16)</f>
        <v>6856.919556</v>
      </c>
      <c r="D324" s="29">
        <f t="shared" si="6"/>
        <v>6856.919556</v>
      </c>
      <c r="E324" s="23">
        <f t="shared" si="5"/>
        <v>2124817.083</v>
      </c>
      <c r="F324" s="23">
        <f>E324*'Parâmetros'!$B$13</f>
        <v>16943.58981</v>
      </c>
      <c r="G324" s="23">
        <f t="shared" si="2"/>
        <v>2148617.592</v>
      </c>
      <c r="H324" s="23">
        <f>G324/(1+'Parâmetros'!$B$14)^A324</f>
        <v>577848.2833</v>
      </c>
      <c r="I324" s="25">
        <f>H324/'Parâmetros'!$B$7</f>
        <v>0.5778482833</v>
      </c>
      <c r="J324" s="23">
        <f t="shared" si="3"/>
        <v>785412.0708</v>
      </c>
      <c r="K324" s="23">
        <f t="shared" si="4"/>
        <v>1363205.522</v>
      </c>
      <c r="L324" s="29"/>
      <c r="M324" s="23"/>
    </row>
    <row r="325" ht="15.75" customHeight="1">
      <c r="A325" s="22">
        <v>324.0</v>
      </c>
      <c r="B325" s="22">
        <f t="shared" si="1"/>
        <v>27</v>
      </c>
      <c r="C325" s="23">
        <f>C324*(1+'Parâmetros'!$B$16)</f>
        <v>6912.905248</v>
      </c>
      <c r="D325" s="29">
        <f t="shared" si="6"/>
        <v>6912.905248</v>
      </c>
      <c r="E325" s="23">
        <f t="shared" si="5"/>
        <v>2148617.592</v>
      </c>
      <c r="F325" s="23">
        <f>E325*'Parâmetros'!$B$13</f>
        <v>17133.37841</v>
      </c>
      <c r="G325" s="23">
        <f t="shared" si="2"/>
        <v>2172663.876</v>
      </c>
      <c r="H325" s="23">
        <f>G325/(1+'Parâmetros'!$B$14)^A325</f>
        <v>581944.367</v>
      </c>
      <c r="I325" s="25">
        <f>H325/'Parâmetros'!$B$7</f>
        <v>0.581944367</v>
      </c>
      <c r="J325" s="23">
        <f t="shared" si="3"/>
        <v>792324.9761</v>
      </c>
      <c r="K325" s="23">
        <f t="shared" si="4"/>
        <v>1380338.9</v>
      </c>
      <c r="L325" s="29"/>
      <c r="M325" s="23"/>
    </row>
    <row r="326" ht="15.75" customHeight="1">
      <c r="A326" s="22">
        <v>325.0</v>
      </c>
      <c r="B326" s="22">
        <f t="shared" si="1"/>
        <v>28</v>
      </c>
      <c r="C326" s="23">
        <f>C325*(1+'Parâmetros'!$B$16)</f>
        <v>6969.348055</v>
      </c>
      <c r="D326" s="29">
        <f t="shared" si="6"/>
        <v>6969.348055</v>
      </c>
      <c r="E326" s="23">
        <f t="shared" si="5"/>
        <v>2172663.876</v>
      </c>
      <c r="F326" s="23">
        <f>E326*'Parâmetros'!$B$13</f>
        <v>17325.12685</v>
      </c>
      <c r="G326" s="23">
        <f t="shared" si="2"/>
        <v>2196958.351</v>
      </c>
      <c r="H326" s="23">
        <f>G326/(1+'Parâmetros'!$B$14)^A326</f>
        <v>586063.9043</v>
      </c>
      <c r="I326" s="25">
        <f>H326/'Parâmetros'!$B$7</f>
        <v>0.5860639043</v>
      </c>
      <c r="J326" s="23">
        <f t="shared" si="3"/>
        <v>799294.3241</v>
      </c>
      <c r="K326" s="23">
        <f t="shared" si="4"/>
        <v>1397664.027</v>
      </c>
      <c r="L326" s="29"/>
      <c r="M326" s="23"/>
    </row>
    <row r="327" ht="15.75" customHeight="1">
      <c r="A327" s="22">
        <v>326.0</v>
      </c>
      <c r="B327" s="22">
        <f t="shared" si="1"/>
        <v>28</v>
      </c>
      <c r="C327" s="23">
        <f>C326*(1+'Parâmetros'!$B$16)</f>
        <v>7026.251709</v>
      </c>
      <c r="D327" s="29">
        <f t="shared" si="6"/>
        <v>7026.251709</v>
      </c>
      <c r="E327" s="23">
        <f t="shared" si="5"/>
        <v>2196958.351</v>
      </c>
      <c r="F327" s="23">
        <f>E327*'Parâmetros'!$B$13</f>
        <v>17518.85441</v>
      </c>
      <c r="G327" s="23">
        <f t="shared" si="2"/>
        <v>2221503.457</v>
      </c>
      <c r="H327" s="23">
        <f>G327/(1+'Parâmetros'!$B$14)^A327</f>
        <v>590207.0172</v>
      </c>
      <c r="I327" s="25">
        <f>H327/'Parâmetros'!$B$7</f>
        <v>0.5902070172</v>
      </c>
      <c r="J327" s="23">
        <f t="shared" si="3"/>
        <v>806320.5758</v>
      </c>
      <c r="K327" s="23">
        <f t="shared" si="4"/>
        <v>1415182.881</v>
      </c>
      <c r="L327" s="29"/>
      <c r="M327" s="23"/>
    </row>
    <row r="328" ht="15.75" customHeight="1">
      <c r="A328" s="22">
        <v>327.0</v>
      </c>
      <c r="B328" s="22">
        <f t="shared" si="1"/>
        <v>28</v>
      </c>
      <c r="C328" s="23">
        <f>C327*(1+'Parâmetros'!$B$16)</f>
        <v>7083.619973</v>
      </c>
      <c r="D328" s="29">
        <f t="shared" si="6"/>
        <v>7083.619973</v>
      </c>
      <c r="E328" s="23">
        <f t="shared" si="5"/>
        <v>2221503.457</v>
      </c>
      <c r="F328" s="23">
        <f>E328*'Parâmetros'!$B$13</f>
        <v>17714.58053</v>
      </c>
      <c r="G328" s="23">
        <f t="shared" si="2"/>
        <v>2246301.658</v>
      </c>
      <c r="H328" s="23">
        <f>G328/(1+'Parâmetros'!$B$14)^A328</f>
        <v>594373.828</v>
      </c>
      <c r="I328" s="25">
        <f>H328/'Parâmetros'!$B$7</f>
        <v>0.594373828</v>
      </c>
      <c r="J328" s="23">
        <f t="shared" si="3"/>
        <v>813404.1958</v>
      </c>
      <c r="K328" s="23">
        <f t="shared" si="4"/>
        <v>1432897.462</v>
      </c>
      <c r="L328" s="29"/>
      <c r="M328" s="23"/>
    </row>
    <row r="329" ht="15.75" customHeight="1">
      <c r="A329" s="22">
        <v>328.0</v>
      </c>
      <c r="B329" s="22">
        <f t="shared" si="1"/>
        <v>28</v>
      </c>
      <c r="C329" s="23">
        <f>C328*(1+'Parâmetros'!$B$16)</f>
        <v>7141.456639</v>
      </c>
      <c r="D329" s="29">
        <f t="shared" si="6"/>
        <v>7141.456639</v>
      </c>
      <c r="E329" s="23">
        <f t="shared" si="5"/>
        <v>2246301.658</v>
      </c>
      <c r="F329" s="23">
        <f>E329*'Parâmetros'!$B$13</f>
        <v>17912.32486</v>
      </c>
      <c r="G329" s="23">
        <f t="shared" si="2"/>
        <v>2271355.439</v>
      </c>
      <c r="H329" s="23">
        <f>G329/(1+'Parâmetros'!$B$14)^A329</f>
        <v>598564.4598</v>
      </c>
      <c r="I329" s="25">
        <f>H329/'Parâmetros'!$B$7</f>
        <v>0.5985644598</v>
      </c>
      <c r="J329" s="23">
        <f t="shared" si="3"/>
        <v>820545.6524</v>
      </c>
      <c r="K329" s="23">
        <f t="shared" si="4"/>
        <v>1450809.787</v>
      </c>
      <c r="L329" s="29"/>
      <c r="M329" s="23"/>
    </row>
    <row r="330" ht="15.75" customHeight="1">
      <c r="A330" s="22">
        <v>329.0</v>
      </c>
      <c r="B330" s="22">
        <f t="shared" si="1"/>
        <v>28</v>
      </c>
      <c r="C330" s="23">
        <f>C329*(1+'Parâmetros'!$B$16)</f>
        <v>7199.765534</v>
      </c>
      <c r="D330" s="29">
        <f t="shared" si="6"/>
        <v>7199.765534</v>
      </c>
      <c r="E330" s="23">
        <f t="shared" si="5"/>
        <v>2271355.439</v>
      </c>
      <c r="F330" s="23">
        <f>E330*'Parâmetros'!$B$13</f>
        <v>18112.10724</v>
      </c>
      <c r="G330" s="23">
        <f t="shared" si="2"/>
        <v>2296667.312</v>
      </c>
      <c r="H330" s="23">
        <f>G330/(1+'Parâmetros'!$B$14)^A330</f>
        <v>602779.0361</v>
      </c>
      <c r="I330" s="25">
        <f>H330/'Parâmetros'!$B$7</f>
        <v>0.6027790361</v>
      </c>
      <c r="J330" s="23">
        <f t="shared" si="3"/>
        <v>827745.418</v>
      </c>
      <c r="K330" s="23">
        <f t="shared" si="4"/>
        <v>1468921.894</v>
      </c>
      <c r="L330" s="29"/>
      <c r="M330" s="23"/>
    </row>
    <row r="331" ht="15.75" customHeight="1">
      <c r="A331" s="22">
        <v>330.0</v>
      </c>
      <c r="B331" s="22">
        <f t="shared" si="1"/>
        <v>28</v>
      </c>
      <c r="C331" s="23">
        <f>C330*(1+'Parâmetros'!$B$16)</f>
        <v>7258.550511</v>
      </c>
      <c r="D331" s="29">
        <f t="shared" si="6"/>
        <v>7258.550511</v>
      </c>
      <c r="E331" s="23">
        <f t="shared" si="5"/>
        <v>2296667.312</v>
      </c>
      <c r="F331" s="23">
        <f>E331*'Parâmetros'!$B$13</f>
        <v>18313.94766</v>
      </c>
      <c r="G331" s="23">
        <f t="shared" si="2"/>
        <v>2322239.81</v>
      </c>
      <c r="H331" s="23">
        <f>G331/(1+'Parâmetros'!$B$14)^A331</f>
        <v>607017.6813</v>
      </c>
      <c r="I331" s="25">
        <f>H331/'Parâmetros'!$B$7</f>
        <v>0.6070176813</v>
      </c>
      <c r="J331" s="23">
        <f t="shared" si="3"/>
        <v>835003.9685</v>
      </c>
      <c r="K331" s="23">
        <f t="shared" si="4"/>
        <v>1487235.842</v>
      </c>
      <c r="L331" s="29"/>
      <c r="M331" s="23"/>
    </row>
    <row r="332" ht="15.75" customHeight="1">
      <c r="A332" s="22">
        <v>331.0</v>
      </c>
      <c r="B332" s="22">
        <f t="shared" si="1"/>
        <v>28</v>
      </c>
      <c r="C332" s="23">
        <f>C331*(1+'Parâmetros'!$B$16)</f>
        <v>7317.815458</v>
      </c>
      <c r="D332" s="29">
        <f t="shared" si="6"/>
        <v>7317.815458</v>
      </c>
      <c r="E332" s="23">
        <f t="shared" si="5"/>
        <v>2322239.81</v>
      </c>
      <c r="F332" s="23">
        <f>E332*'Parâmetros'!$B$13</f>
        <v>18517.86636</v>
      </c>
      <c r="G332" s="23">
        <f t="shared" si="2"/>
        <v>2348075.492</v>
      </c>
      <c r="H332" s="23">
        <f>G332/(1+'Parâmetros'!$B$14)^A332</f>
        <v>611280.5202</v>
      </c>
      <c r="I332" s="25">
        <f>H332/'Parâmetros'!$B$7</f>
        <v>0.6112805202</v>
      </c>
      <c r="J332" s="23">
        <f t="shared" si="3"/>
        <v>842321.7839</v>
      </c>
      <c r="K332" s="23">
        <f t="shared" si="4"/>
        <v>1505753.708</v>
      </c>
      <c r="L332" s="29"/>
      <c r="M332" s="23"/>
    </row>
    <row r="333" ht="15.75" customHeight="1">
      <c r="A333" s="22">
        <v>332.0</v>
      </c>
      <c r="B333" s="22">
        <f t="shared" si="1"/>
        <v>28</v>
      </c>
      <c r="C333" s="23">
        <f>C332*(1+'Parâmetros'!$B$16)</f>
        <v>7377.564295</v>
      </c>
      <c r="D333" s="29">
        <f t="shared" si="6"/>
        <v>7377.564295</v>
      </c>
      <c r="E333" s="23">
        <f t="shared" si="5"/>
        <v>2348075.492</v>
      </c>
      <c r="F333" s="23">
        <f>E333*'Parâmetros'!$B$13</f>
        <v>18723.88371</v>
      </c>
      <c r="G333" s="23">
        <f t="shared" si="2"/>
        <v>2374176.94</v>
      </c>
      <c r="H333" s="23">
        <f>G333/(1+'Parâmetros'!$B$14)^A333</f>
        <v>615567.6782</v>
      </c>
      <c r="I333" s="25">
        <f>H333/'Parâmetros'!$B$7</f>
        <v>0.6155676782</v>
      </c>
      <c r="J333" s="23">
        <f t="shared" si="3"/>
        <v>849699.3482</v>
      </c>
      <c r="K333" s="23">
        <f t="shared" si="4"/>
        <v>1524477.592</v>
      </c>
      <c r="L333" s="29"/>
      <c r="M333" s="23"/>
    </row>
    <row r="334" ht="15.75" customHeight="1">
      <c r="A334" s="22">
        <v>333.0</v>
      </c>
      <c r="B334" s="22">
        <f t="shared" si="1"/>
        <v>28</v>
      </c>
      <c r="C334" s="23">
        <f>C333*(1+'Parâmetros'!$B$16)</f>
        <v>7437.800972</v>
      </c>
      <c r="D334" s="29">
        <f t="shared" si="6"/>
        <v>7437.800972</v>
      </c>
      <c r="E334" s="23">
        <f t="shared" si="5"/>
        <v>2374176.94</v>
      </c>
      <c r="F334" s="23">
        <f>E334*'Parâmetros'!$B$13</f>
        <v>18932.02032</v>
      </c>
      <c r="G334" s="23">
        <f t="shared" si="2"/>
        <v>2400546.761</v>
      </c>
      <c r="H334" s="23">
        <f>G334/(1+'Parâmetros'!$B$14)^A334</f>
        <v>619879.2815</v>
      </c>
      <c r="I334" s="25">
        <f>H334/'Parâmetros'!$B$7</f>
        <v>0.6198792815</v>
      </c>
      <c r="J334" s="23">
        <f t="shared" si="3"/>
        <v>857137.1492</v>
      </c>
      <c r="K334" s="23">
        <f t="shared" si="4"/>
        <v>1543409.612</v>
      </c>
      <c r="L334" s="29"/>
      <c r="M334" s="23"/>
    </row>
    <row r="335" ht="15.75" customHeight="1">
      <c r="A335" s="22">
        <v>334.0</v>
      </c>
      <c r="B335" s="22">
        <f t="shared" si="1"/>
        <v>28</v>
      </c>
      <c r="C335" s="23">
        <f>C334*(1+'Parâmetros'!$B$16)</f>
        <v>7498.529471</v>
      </c>
      <c r="D335" s="29">
        <f t="shared" si="6"/>
        <v>7498.529471</v>
      </c>
      <c r="E335" s="23">
        <f t="shared" si="5"/>
        <v>2400546.761</v>
      </c>
      <c r="F335" s="23">
        <f>E335*'Parâmetros'!$B$13</f>
        <v>19142.29698</v>
      </c>
      <c r="G335" s="23">
        <f t="shared" si="2"/>
        <v>2427187.588</v>
      </c>
      <c r="H335" s="23">
        <f>G335/(1+'Parâmetros'!$B$14)^A335</f>
        <v>624215.4567</v>
      </c>
      <c r="I335" s="25">
        <f>H335/'Parâmetros'!$B$7</f>
        <v>0.6242154567</v>
      </c>
      <c r="J335" s="23">
        <f t="shared" si="3"/>
        <v>864635.6787</v>
      </c>
      <c r="K335" s="23">
        <f t="shared" si="4"/>
        <v>1562551.909</v>
      </c>
      <c r="L335" s="29"/>
      <c r="M335" s="23"/>
    </row>
    <row r="336" ht="15.75" customHeight="1">
      <c r="A336" s="22">
        <v>335.0</v>
      </c>
      <c r="B336" s="22">
        <f t="shared" si="1"/>
        <v>28</v>
      </c>
      <c r="C336" s="23">
        <f>C335*(1+'Parâmetros'!$B$16)</f>
        <v>7559.75381</v>
      </c>
      <c r="D336" s="29">
        <f t="shared" si="6"/>
        <v>7559.75381</v>
      </c>
      <c r="E336" s="23">
        <f t="shared" si="5"/>
        <v>2427187.588</v>
      </c>
      <c r="F336" s="23">
        <f>E336*'Parâmetros'!$B$13</f>
        <v>19354.73467</v>
      </c>
      <c r="G336" s="23">
        <f t="shared" si="2"/>
        <v>2454102.076</v>
      </c>
      <c r="H336" s="23">
        <f>G336/(1+'Parâmetros'!$B$14)^A336</f>
        <v>628576.3312</v>
      </c>
      <c r="I336" s="25">
        <f>H336/'Parâmetros'!$B$7</f>
        <v>0.6285763312</v>
      </c>
      <c r="J336" s="23">
        <f t="shared" si="3"/>
        <v>872195.4325</v>
      </c>
      <c r="K336" s="23">
        <f t="shared" si="4"/>
        <v>1581906.644</v>
      </c>
      <c r="L336" s="29"/>
      <c r="M336" s="23"/>
    </row>
    <row r="337" ht="15.75" customHeight="1">
      <c r="A337" s="22">
        <v>336.0</v>
      </c>
      <c r="B337" s="22">
        <f t="shared" si="1"/>
        <v>28</v>
      </c>
      <c r="C337" s="23">
        <f>C336*(1+'Parâmetros'!$B$16)</f>
        <v>7621.478036</v>
      </c>
      <c r="D337" s="29">
        <f t="shared" si="6"/>
        <v>7621.478036</v>
      </c>
      <c r="E337" s="23">
        <f t="shared" si="5"/>
        <v>2454102.076</v>
      </c>
      <c r="F337" s="23">
        <f>E337*'Parâmetros'!$B$13</f>
        <v>19569.35458</v>
      </c>
      <c r="G337" s="23">
        <f t="shared" si="2"/>
        <v>2481292.909</v>
      </c>
      <c r="H337" s="23">
        <f>G337/(1+'Parâmetros'!$B$14)^A337</f>
        <v>632962.0329</v>
      </c>
      <c r="I337" s="25">
        <f>H337/'Parâmetros'!$B$7</f>
        <v>0.6329620329</v>
      </c>
      <c r="J337" s="23">
        <f t="shared" si="3"/>
        <v>879816.9105</v>
      </c>
      <c r="K337" s="23">
        <f t="shared" si="4"/>
        <v>1601475.998</v>
      </c>
      <c r="L337" s="29"/>
      <c r="M337" s="23"/>
    </row>
    <row r="338" ht="15.75" customHeight="1">
      <c r="A338" s="22">
        <v>337.0</v>
      </c>
      <c r="B338" s="22">
        <f t="shared" si="1"/>
        <v>29</v>
      </c>
      <c r="C338" s="23">
        <f>C337*(1+'Parâmetros'!$B$16)</f>
        <v>7683.706231</v>
      </c>
      <c r="D338" s="29">
        <f t="shared" si="6"/>
        <v>7683.706231</v>
      </c>
      <c r="E338" s="23">
        <f t="shared" si="5"/>
        <v>2481292.909</v>
      </c>
      <c r="F338" s="23">
        <f>E338*'Parâmetros'!$B$13</f>
        <v>19786.1781</v>
      </c>
      <c r="G338" s="23">
        <f t="shared" si="2"/>
        <v>2508762.793</v>
      </c>
      <c r="H338" s="23">
        <f>G338/(1+'Parâmetros'!$B$14)^A338</f>
        <v>637372.6904</v>
      </c>
      <c r="I338" s="25">
        <f>H338/'Parâmetros'!$B$7</f>
        <v>0.6373726904</v>
      </c>
      <c r="J338" s="23">
        <f t="shared" si="3"/>
        <v>887500.6168</v>
      </c>
      <c r="K338" s="23">
        <f t="shared" si="4"/>
        <v>1621262.176</v>
      </c>
      <c r="L338" s="29"/>
      <c r="M338" s="23"/>
    </row>
    <row r="339" ht="15.75" customHeight="1">
      <c r="A339" s="22">
        <v>338.0</v>
      </c>
      <c r="B339" s="22">
        <f t="shared" si="1"/>
        <v>29</v>
      </c>
      <c r="C339" s="23">
        <f>C338*(1+'Parâmetros'!$B$16)</f>
        <v>7746.44251</v>
      </c>
      <c r="D339" s="29">
        <f t="shared" si="6"/>
        <v>7746.44251</v>
      </c>
      <c r="E339" s="23">
        <f t="shared" si="5"/>
        <v>2508762.793</v>
      </c>
      <c r="F339" s="23">
        <f>E339*'Parâmetros'!$B$13</f>
        <v>20005.22681</v>
      </c>
      <c r="G339" s="23">
        <f t="shared" si="2"/>
        <v>2536514.462</v>
      </c>
      <c r="H339" s="23">
        <f>G339/(1+'Parâmetros'!$B$14)^A339</f>
        <v>641808.4328</v>
      </c>
      <c r="I339" s="25">
        <f>H339/'Parâmetros'!$B$7</f>
        <v>0.6418084328</v>
      </c>
      <c r="J339" s="23">
        <f t="shared" si="3"/>
        <v>895247.0593</v>
      </c>
      <c r="K339" s="23">
        <f t="shared" si="4"/>
        <v>1641267.403</v>
      </c>
      <c r="L339" s="29"/>
      <c r="M339" s="23"/>
    </row>
    <row r="340" ht="15.75" customHeight="1">
      <c r="A340" s="22">
        <v>339.0</v>
      </c>
      <c r="B340" s="22">
        <f t="shared" si="1"/>
        <v>29</v>
      </c>
      <c r="C340" s="23">
        <f>C339*(1+'Parâmetros'!$B$16)</f>
        <v>7809.69102</v>
      </c>
      <c r="D340" s="29">
        <f t="shared" si="6"/>
        <v>7809.69102</v>
      </c>
      <c r="E340" s="23">
        <f t="shared" si="5"/>
        <v>2536514.462</v>
      </c>
      <c r="F340" s="23">
        <f>E340*'Parâmetros'!$B$13</f>
        <v>20226.52252</v>
      </c>
      <c r="G340" s="23">
        <f t="shared" si="2"/>
        <v>2564550.676</v>
      </c>
      <c r="H340" s="23">
        <f>G340/(1+'Parâmetros'!$B$14)^A340</f>
        <v>646269.3901</v>
      </c>
      <c r="I340" s="25">
        <f>H340/'Parâmetros'!$B$7</f>
        <v>0.6462693901</v>
      </c>
      <c r="J340" s="23">
        <f t="shared" si="3"/>
        <v>903056.7503</v>
      </c>
      <c r="K340" s="23">
        <f t="shared" si="4"/>
        <v>1661493.926</v>
      </c>
      <c r="L340" s="29"/>
      <c r="M340" s="23"/>
    </row>
    <row r="341" ht="15.75" customHeight="1">
      <c r="A341" s="22">
        <v>340.0</v>
      </c>
      <c r="B341" s="22">
        <f t="shared" si="1"/>
        <v>29</v>
      </c>
      <c r="C341" s="23">
        <f>C340*(1+'Parâmetros'!$B$16)</f>
        <v>7873.455945</v>
      </c>
      <c r="D341" s="29">
        <f t="shared" si="6"/>
        <v>7873.455945</v>
      </c>
      <c r="E341" s="23">
        <f t="shared" si="5"/>
        <v>2564550.676</v>
      </c>
      <c r="F341" s="23">
        <f>E341*'Parâmetros'!$B$13</f>
        <v>20450.08723</v>
      </c>
      <c r="G341" s="23">
        <f t="shared" si="2"/>
        <v>2592874.219</v>
      </c>
      <c r="H341" s="23">
        <f>G341/(1+'Parâmetros'!$B$14)^A341</f>
        <v>650755.6927</v>
      </c>
      <c r="I341" s="25">
        <f>H341/'Parâmetros'!$B$7</f>
        <v>0.6507556927</v>
      </c>
      <c r="J341" s="23">
        <f t="shared" si="3"/>
        <v>910930.2062</v>
      </c>
      <c r="K341" s="23">
        <f t="shared" si="4"/>
        <v>1681944.013</v>
      </c>
      <c r="L341" s="29"/>
      <c r="M341" s="23"/>
    </row>
    <row r="342" ht="15.75" customHeight="1">
      <c r="A342" s="22">
        <v>341.0</v>
      </c>
      <c r="B342" s="22">
        <f t="shared" si="1"/>
        <v>29</v>
      </c>
      <c r="C342" s="23">
        <f>C341*(1+'Parâmetros'!$B$16)</f>
        <v>7937.741501</v>
      </c>
      <c r="D342" s="29">
        <f t="shared" si="6"/>
        <v>7937.741501</v>
      </c>
      <c r="E342" s="23">
        <f t="shared" si="5"/>
        <v>2592874.219</v>
      </c>
      <c r="F342" s="23">
        <f>E342*'Parâmetros'!$B$13</f>
        <v>20675.94314</v>
      </c>
      <c r="G342" s="23">
        <f t="shared" si="2"/>
        <v>2621487.904</v>
      </c>
      <c r="H342" s="23">
        <f>G342/(1+'Parâmetros'!$B$14)^A342</f>
        <v>655267.4716</v>
      </c>
      <c r="I342" s="25">
        <f>H342/'Parâmetros'!$B$7</f>
        <v>0.6552674716</v>
      </c>
      <c r="J342" s="23">
        <f t="shared" si="3"/>
        <v>918867.9477</v>
      </c>
      <c r="K342" s="23">
        <f t="shared" si="4"/>
        <v>1702619.956</v>
      </c>
      <c r="L342" s="29"/>
      <c r="M342" s="23"/>
    </row>
    <row r="343" ht="15.75" customHeight="1">
      <c r="A343" s="22">
        <v>342.0</v>
      </c>
      <c r="B343" s="22">
        <f t="shared" si="1"/>
        <v>29</v>
      </c>
      <c r="C343" s="23">
        <f>C342*(1+'Parâmetros'!$B$16)</f>
        <v>8002.551938</v>
      </c>
      <c r="D343" s="29">
        <f t="shared" si="6"/>
        <v>8002.551938</v>
      </c>
      <c r="E343" s="23">
        <f t="shared" si="5"/>
        <v>2621487.904</v>
      </c>
      <c r="F343" s="23">
        <f>E343*'Parâmetros'!$B$13</f>
        <v>20904.11268</v>
      </c>
      <c r="G343" s="23">
        <f t="shared" si="2"/>
        <v>2650394.568</v>
      </c>
      <c r="H343" s="23">
        <f>G343/(1+'Parâmetros'!$B$14)^A343</f>
        <v>659804.8588</v>
      </c>
      <c r="I343" s="25">
        <f>H343/'Parâmetros'!$B$7</f>
        <v>0.6598048588</v>
      </c>
      <c r="J343" s="23">
        <f t="shared" si="3"/>
        <v>926870.4997</v>
      </c>
      <c r="K343" s="23">
        <f t="shared" si="4"/>
        <v>1723524.069</v>
      </c>
      <c r="L343" s="29"/>
      <c r="M343" s="23"/>
    </row>
    <row r="344" ht="15.75" customHeight="1">
      <c r="A344" s="22">
        <v>343.0</v>
      </c>
      <c r="B344" s="22">
        <f t="shared" si="1"/>
        <v>29</v>
      </c>
      <c r="C344" s="23">
        <f>C343*(1+'Parâmetros'!$B$16)</f>
        <v>8067.891543</v>
      </c>
      <c r="D344" s="29">
        <f t="shared" si="6"/>
        <v>8067.891543</v>
      </c>
      <c r="E344" s="23">
        <f t="shared" si="5"/>
        <v>2650394.568</v>
      </c>
      <c r="F344" s="23">
        <f>E344*'Parâmetros'!$B$13</f>
        <v>21134.61848</v>
      </c>
      <c r="G344" s="23">
        <f t="shared" si="2"/>
        <v>2679597.078</v>
      </c>
      <c r="H344" s="23">
        <f>G344/(1+'Parâmetros'!$B$14)^A344</f>
        <v>664367.9865</v>
      </c>
      <c r="I344" s="25">
        <f>H344/'Parâmetros'!$B$7</f>
        <v>0.6643679865</v>
      </c>
      <c r="J344" s="23">
        <f t="shared" si="3"/>
        <v>934938.3912</v>
      </c>
      <c r="K344" s="23">
        <f t="shared" si="4"/>
        <v>1744658.687</v>
      </c>
      <c r="L344" s="29"/>
      <c r="M344" s="23"/>
    </row>
    <row r="345" ht="15.75" customHeight="1">
      <c r="A345" s="22">
        <v>344.0</v>
      </c>
      <c r="B345" s="22">
        <f t="shared" si="1"/>
        <v>29</v>
      </c>
      <c r="C345" s="23">
        <f>C344*(1+'Parâmetros'!$B$16)</f>
        <v>8133.764635</v>
      </c>
      <c r="D345" s="29">
        <f t="shared" si="6"/>
        <v>8133.764635</v>
      </c>
      <c r="E345" s="23">
        <f t="shared" si="5"/>
        <v>2679597.078</v>
      </c>
      <c r="F345" s="23">
        <f>E345*'Parâmetros'!$B$13</f>
        <v>21367.4834</v>
      </c>
      <c r="G345" s="23">
        <f t="shared" si="2"/>
        <v>2709098.326</v>
      </c>
      <c r="H345" s="23">
        <f>G345/(1+'Parâmetros'!$B$14)^A345</f>
        <v>668956.9878</v>
      </c>
      <c r="I345" s="25">
        <f>H345/'Parâmetros'!$B$7</f>
        <v>0.6689569878</v>
      </c>
      <c r="J345" s="23">
        <f t="shared" si="3"/>
        <v>943072.1558</v>
      </c>
      <c r="K345" s="23">
        <f t="shared" si="4"/>
        <v>1766026.171</v>
      </c>
      <c r="L345" s="29"/>
      <c r="M345" s="23"/>
    </row>
    <row r="346" ht="15.75" customHeight="1">
      <c r="A346" s="22">
        <v>345.0</v>
      </c>
      <c r="B346" s="22">
        <f t="shared" si="1"/>
        <v>29</v>
      </c>
      <c r="C346" s="23">
        <f>C345*(1+'Parâmetros'!$B$16)</f>
        <v>8200.175571</v>
      </c>
      <c r="D346" s="29">
        <f t="shared" si="6"/>
        <v>8200.175571</v>
      </c>
      <c r="E346" s="23">
        <f t="shared" si="5"/>
        <v>2709098.326</v>
      </c>
      <c r="F346" s="23">
        <f>E346*'Parâmetros'!$B$13</f>
        <v>21602.73049</v>
      </c>
      <c r="G346" s="23">
        <f t="shared" si="2"/>
        <v>2738901.232</v>
      </c>
      <c r="H346" s="23">
        <f>G346/(1+'Parâmetros'!$B$14)^A346</f>
        <v>673571.9964</v>
      </c>
      <c r="I346" s="25">
        <f>H346/'Parâmetros'!$B$7</f>
        <v>0.6735719964</v>
      </c>
      <c r="J346" s="23">
        <f t="shared" si="3"/>
        <v>951272.3314</v>
      </c>
      <c r="K346" s="23">
        <f t="shared" si="4"/>
        <v>1787628.901</v>
      </c>
      <c r="L346" s="29"/>
      <c r="M346" s="23"/>
    </row>
    <row r="347" ht="15.75" customHeight="1">
      <c r="A347" s="22">
        <v>346.0</v>
      </c>
      <c r="B347" s="22">
        <f t="shared" si="1"/>
        <v>29</v>
      </c>
      <c r="C347" s="23">
        <f>C346*(1+'Parâmetros'!$B$16)</f>
        <v>8267.128742</v>
      </c>
      <c r="D347" s="29">
        <f t="shared" si="6"/>
        <v>8267.128742</v>
      </c>
      <c r="E347" s="23">
        <f t="shared" si="5"/>
        <v>2738901.232</v>
      </c>
      <c r="F347" s="23">
        <f>E347*'Parâmetros'!$B$13</f>
        <v>21840.38305</v>
      </c>
      <c r="G347" s="23">
        <f t="shared" si="2"/>
        <v>2769008.744</v>
      </c>
      <c r="H347" s="23">
        <f>G347/(1+'Parâmetros'!$B$14)^A347</f>
        <v>678213.1467</v>
      </c>
      <c r="I347" s="25">
        <f>H347/'Parâmetros'!$B$7</f>
        <v>0.6782131467</v>
      </c>
      <c r="J347" s="23">
        <f t="shared" si="3"/>
        <v>959539.4602</v>
      </c>
      <c r="K347" s="23">
        <f t="shared" si="4"/>
        <v>1809469.284</v>
      </c>
      <c r="L347" s="29"/>
      <c r="M347" s="23"/>
    </row>
    <row r="348" ht="15.75" customHeight="1">
      <c r="A348" s="22">
        <v>347.0</v>
      </c>
      <c r="B348" s="22">
        <f t="shared" si="1"/>
        <v>29</v>
      </c>
      <c r="C348" s="23">
        <f>C347*(1+'Parâmetros'!$B$16)</f>
        <v>8334.628576</v>
      </c>
      <c r="D348" s="29">
        <f t="shared" si="6"/>
        <v>8334.628576</v>
      </c>
      <c r="E348" s="23">
        <f t="shared" si="5"/>
        <v>2769008.744</v>
      </c>
      <c r="F348" s="23">
        <f>E348*'Parâmetros'!$B$13</f>
        <v>22080.46458</v>
      </c>
      <c r="G348" s="23">
        <f t="shared" si="2"/>
        <v>2799423.837</v>
      </c>
      <c r="H348" s="23">
        <f>G348/(1+'Parâmetros'!$B$14)^A348</f>
        <v>682880.5737</v>
      </c>
      <c r="I348" s="25">
        <f>H348/'Parâmetros'!$B$7</f>
        <v>0.6828805737</v>
      </c>
      <c r="J348" s="23">
        <f t="shared" si="3"/>
        <v>967874.0887</v>
      </c>
      <c r="K348" s="23">
        <f t="shared" si="4"/>
        <v>1831549.749</v>
      </c>
      <c r="L348" s="29"/>
      <c r="M348" s="23"/>
    </row>
    <row r="349" ht="15.75" customHeight="1">
      <c r="A349" s="22">
        <v>348.0</v>
      </c>
      <c r="B349" s="22">
        <f t="shared" si="1"/>
        <v>29</v>
      </c>
      <c r="C349" s="23">
        <f>C348*(1+'Parâmetros'!$B$16)</f>
        <v>8402.679535</v>
      </c>
      <c r="D349" s="29">
        <f t="shared" si="6"/>
        <v>8402.679535</v>
      </c>
      <c r="E349" s="23">
        <f t="shared" si="5"/>
        <v>2799423.837</v>
      </c>
      <c r="F349" s="23">
        <f>E349*'Parâmetros'!$B$13</f>
        <v>22322.9988</v>
      </c>
      <c r="G349" s="23">
        <f t="shared" si="2"/>
        <v>2830149.516</v>
      </c>
      <c r="H349" s="23">
        <f>G349/(1+'Parâmetros'!$B$14)^A349</f>
        <v>687574.413</v>
      </c>
      <c r="I349" s="25">
        <f>H349/'Parâmetros'!$B$7</f>
        <v>0.687574413</v>
      </c>
      <c r="J349" s="23">
        <f t="shared" si="3"/>
        <v>976276.7683</v>
      </c>
      <c r="K349" s="23">
        <f t="shared" si="4"/>
        <v>1853872.747</v>
      </c>
      <c r="L349" s="29"/>
      <c r="M349" s="23"/>
    </row>
    <row r="350" ht="15.75" customHeight="1">
      <c r="A350" s="22">
        <v>349.0</v>
      </c>
      <c r="B350" s="22">
        <f t="shared" si="1"/>
        <v>30</v>
      </c>
      <c r="C350" s="23">
        <f>C349*(1+'Parâmetros'!$B$16)</f>
        <v>8471.28612</v>
      </c>
      <c r="D350" s="29">
        <f t="shared" si="6"/>
        <v>8471.28612</v>
      </c>
      <c r="E350" s="23">
        <f t="shared" si="5"/>
        <v>2830149.516</v>
      </c>
      <c r="F350" s="23">
        <f>E350*'Parâmetros'!$B$13</f>
        <v>22568.00967</v>
      </c>
      <c r="G350" s="23">
        <f t="shared" si="2"/>
        <v>2861188.812</v>
      </c>
      <c r="H350" s="23">
        <f>G350/(1+'Parâmetros'!$B$14)^A350</f>
        <v>692294.801</v>
      </c>
      <c r="I350" s="25">
        <f>H350/'Parâmetros'!$B$7</f>
        <v>0.692294801</v>
      </c>
      <c r="J350" s="23">
        <f t="shared" si="3"/>
        <v>984748.0544</v>
      </c>
      <c r="K350" s="23">
        <f t="shared" si="4"/>
        <v>1876440.757</v>
      </c>
      <c r="L350" s="29"/>
      <c r="M350" s="23"/>
    </row>
    <row r="351" ht="15.75" customHeight="1">
      <c r="A351" s="22">
        <v>350.0</v>
      </c>
      <c r="B351" s="22">
        <f t="shared" si="1"/>
        <v>30</v>
      </c>
      <c r="C351" s="23">
        <f>C350*(1+'Parâmetros'!$B$16)</f>
        <v>8540.452867</v>
      </c>
      <c r="D351" s="29">
        <f t="shared" si="6"/>
        <v>8540.452867</v>
      </c>
      <c r="E351" s="23">
        <f t="shared" si="5"/>
        <v>2861188.812</v>
      </c>
      <c r="F351" s="23">
        <f>E351*'Parâmetros'!$B$13</f>
        <v>22815.52138</v>
      </c>
      <c r="G351" s="23">
        <f t="shared" si="2"/>
        <v>2892544.786</v>
      </c>
      <c r="H351" s="23">
        <f>G351/(1+'Parâmetros'!$B$14)^A351</f>
        <v>697041.8747</v>
      </c>
      <c r="I351" s="25">
        <f>H351/'Parâmetros'!$B$7</f>
        <v>0.6970418747</v>
      </c>
      <c r="J351" s="23">
        <f t="shared" si="3"/>
        <v>993288.5073</v>
      </c>
      <c r="K351" s="23">
        <f t="shared" si="4"/>
        <v>1899256.279</v>
      </c>
      <c r="L351" s="29"/>
      <c r="M351" s="23"/>
    </row>
    <row r="352" ht="15.75" customHeight="1">
      <c r="A352" s="22">
        <v>351.0</v>
      </c>
      <c r="B352" s="22">
        <f t="shared" si="1"/>
        <v>30</v>
      </c>
      <c r="C352" s="23">
        <f>C351*(1+'Parâmetros'!$B$16)</f>
        <v>8610.18435</v>
      </c>
      <c r="D352" s="29">
        <f t="shared" si="6"/>
        <v>8610.18435</v>
      </c>
      <c r="E352" s="23">
        <f t="shared" si="5"/>
        <v>2892544.786</v>
      </c>
      <c r="F352" s="23">
        <f>E352*'Parâmetros'!$B$13</f>
        <v>23065.55832</v>
      </c>
      <c r="G352" s="23">
        <f t="shared" si="2"/>
        <v>2924220.528</v>
      </c>
      <c r="H352" s="23">
        <f>G352/(1+'Parâmetros'!$B$14)^A352</f>
        <v>701815.7718</v>
      </c>
      <c r="I352" s="25">
        <f>H352/'Parâmetros'!$B$7</f>
        <v>0.7018157718</v>
      </c>
      <c r="J352" s="23">
        <f t="shared" si="3"/>
        <v>1001898.692</v>
      </c>
      <c r="K352" s="23">
        <f t="shared" si="4"/>
        <v>1922321.837</v>
      </c>
      <c r="L352" s="29"/>
      <c r="M352" s="23"/>
    </row>
    <row r="353" ht="15.75" customHeight="1">
      <c r="A353" s="22">
        <v>352.0</v>
      </c>
      <c r="B353" s="22">
        <f t="shared" si="1"/>
        <v>30</v>
      </c>
      <c r="C353" s="23">
        <f>C352*(1+'Parâmetros'!$B$16)</f>
        <v>8680.485179</v>
      </c>
      <c r="D353" s="29">
        <f t="shared" si="6"/>
        <v>8680.485179</v>
      </c>
      <c r="E353" s="23">
        <f t="shared" si="5"/>
        <v>2924220.528</v>
      </c>
      <c r="F353" s="23">
        <f>E353*'Parâmetros'!$B$13</f>
        <v>23318.14514</v>
      </c>
      <c r="G353" s="23">
        <f t="shared" si="2"/>
        <v>2956219.159</v>
      </c>
      <c r="H353" s="23">
        <f>G353/(1+'Parâmetros'!$B$14)^A353</f>
        <v>706616.6305</v>
      </c>
      <c r="I353" s="25">
        <f>H353/'Parâmetros'!$B$7</f>
        <v>0.7066166305</v>
      </c>
      <c r="J353" s="23">
        <f t="shared" si="3"/>
        <v>1010579.177</v>
      </c>
      <c r="K353" s="23">
        <f t="shared" si="4"/>
        <v>1945639.982</v>
      </c>
      <c r="L353" s="29"/>
      <c r="M353" s="23"/>
    </row>
    <row r="354" ht="15.75" customHeight="1">
      <c r="A354" s="22">
        <v>353.0</v>
      </c>
      <c r="B354" s="22">
        <f t="shared" si="1"/>
        <v>30</v>
      </c>
      <c r="C354" s="23">
        <f>C353*(1+'Parâmetros'!$B$16)</f>
        <v>8751.360005</v>
      </c>
      <c r="D354" s="29">
        <f t="shared" si="6"/>
        <v>8751.360005</v>
      </c>
      <c r="E354" s="23">
        <f t="shared" si="5"/>
        <v>2956219.159</v>
      </c>
      <c r="F354" s="23">
        <f>E354*'Parâmetros'!$B$13</f>
        <v>23573.30671</v>
      </c>
      <c r="G354" s="23">
        <f t="shared" si="2"/>
        <v>2988543.825</v>
      </c>
      <c r="H354" s="23">
        <f>G354/(1+'Parâmetros'!$B$14)^A354</f>
        <v>711444.5901</v>
      </c>
      <c r="I354" s="25">
        <f>H354/'Parâmetros'!$B$7</f>
        <v>0.7114445901</v>
      </c>
      <c r="J354" s="23">
        <f t="shared" si="3"/>
        <v>1019330.537</v>
      </c>
      <c r="K354" s="23">
        <f t="shared" si="4"/>
        <v>1969213.289</v>
      </c>
      <c r="L354" s="29"/>
      <c r="M354" s="23"/>
    </row>
    <row r="355" ht="15.75" customHeight="1">
      <c r="A355" s="22">
        <v>354.0</v>
      </c>
      <c r="B355" s="22">
        <f t="shared" si="1"/>
        <v>30</v>
      </c>
      <c r="C355" s="23">
        <f>C354*(1+'Parâmetros'!$B$16)</f>
        <v>8822.813512</v>
      </c>
      <c r="D355" s="29">
        <f t="shared" si="6"/>
        <v>8822.813512</v>
      </c>
      <c r="E355" s="23">
        <f t="shared" si="5"/>
        <v>2988543.825</v>
      </c>
      <c r="F355" s="23">
        <f>E355*'Parâmetros'!$B$13</f>
        <v>23831.06814</v>
      </c>
      <c r="G355" s="23">
        <f t="shared" si="2"/>
        <v>3021197.707</v>
      </c>
      <c r="H355" s="23">
        <f>G355/(1+'Parâmetros'!$B$14)^A355</f>
        <v>716299.79</v>
      </c>
      <c r="I355" s="25">
        <f>H355/'Parâmetros'!$B$7</f>
        <v>0.71629979</v>
      </c>
      <c r="J355" s="23">
        <f t="shared" si="3"/>
        <v>1028153.35</v>
      </c>
      <c r="K355" s="23">
        <f t="shared" si="4"/>
        <v>1993044.357</v>
      </c>
      <c r="L355" s="29"/>
      <c r="M355" s="23"/>
    </row>
    <row r="356" ht="15.75" customHeight="1">
      <c r="A356" s="22">
        <v>355.0</v>
      </c>
      <c r="B356" s="22">
        <f t="shared" si="1"/>
        <v>30</v>
      </c>
      <c r="C356" s="23">
        <f>C355*(1+'Parâmetros'!$B$16)</f>
        <v>8894.850426</v>
      </c>
      <c r="D356" s="29">
        <f t="shared" si="6"/>
        <v>8894.850426</v>
      </c>
      <c r="E356" s="23">
        <f t="shared" si="5"/>
        <v>3021197.707</v>
      </c>
      <c r="F356" s="23">
        <f>E356*'Parâmetros'!$B$13</f>
        <v>24091.45478</v>
      </c>
      <c r="G356" s="23">
        <f t="shared" si="2"/>
        <v>3054184.012</v>
      </c>
      <c r="H356" s="23">
        <f>G356/(1+'Parâmetros'!$B$14)^A356</f>
        <v>721182.3709</v>
      </c>
      <c r="I356" s="25">
        <f>H356/'Parâmetros'!$B$7</f>
        <v>0.7211823709</v>
      </c>
      <c r="J356" s="23">
        <f t="shared" si="3"/>
        <v>1037048.201</v>
      </c>
      <c r="K356" s="23">
        <f t="shared" si="4"/>
        <v>2017135.812</v>
      </c>
      <c r="L356" s="29"/>
      <c r="M356" s="23"/>
    </row>
    <row r="357" ht="15.75" customHeight="1">
      <c r="A357" s="22">
        <v>356.0</v>
      </c>
      <c r="B357" s="22">
        <f t="shared" si="1"/>
        <v>30</v>
      </c>
      <c r="C357" s="23">
        <f>C356*(1+'Parâmetros'!$B$16)</f>
        <v>8967.47551</v>
      </c>
      <c r="D357" s="29">
        <f t="shared" si="6"/>
        <v>8967.47551</v>
      </c>
      <c r="E357" s="23">
        <f t="shared" si="5"/>
        <v>3054184.012</v>
      </c>
      <c r="F357" s="23">
        <f>E357*'Parâmetros'!$B$13</f>
        <v>24354.49221</v>
      </c>
      <c r="G357" s="23">
        <f t="shared" si="2"/>
        <v>3087505.98</v>
      </c>
      <c r="H357" s="23">
        <f>G357/(1+'Parâmetros'!$B$14)^A357</f>
        <v>726092.4736</v>
      </c>
      <c r="I357" s="25">
        <f>H357/'Parâmetros'!$B$7</f>
        <v>0.7260924736</v>
      </c>
      <c r="J357" s="23">
        <f t="shared" si="3"/>
        <v>1046015.676</v>
      </c>
      <c r="K357" s="23">
        <f t="shared" si="4"/>
        <v>2041490.304</v>
      </c>
      <c r="L357" s="29"/>
      <c r="M357" s="23"/>
    </row>
    <row r="358" ht="15.75" customHeight="1">
      <c r="A358" s="22">
        <v>357.0</v>
      </c>
      <c r="B358" s="22">
        <f t="shared" si="1"/>
        <v>30</v>
      </c>
      <c r="C358" s="23">
        <f>C357*(1+'Parâmetros'!$B$16)</f>
        <v>9040.693567</v>
      </c>
      <c r="D358" s="29">
        <f t="shared" si="6"/>
        <v>9040.693567</v>
      </c>
      <c r="E358" s="23">
        <f t="shared" si="5"/>
        <v>3087505.98</v>
      </c>
      <c r="F358" s="23">
        <f>E358*'Parâmetros'!$B$13</f>
        <v>24620.20626</v>
      </c>
      <c r="G358" s="23">
        <f t="shared" si="2"/>
        <v>3121166.88</v>
      </c>
      <c r="H358" s="23">
        <f>G358/(1+'Parâmetros'!$B$14)^A358</f>
        <v>731030.2399</v>
      </c>
      <c r="I358" s="25">
        <f>H358/'Parâmetros'!$B$7</f>
        <v>0.7310302399</v>
      </c>
      <c r="J358" s="23">
        <f t="shared" si="3"/>
        <v>1055056.37</v>
      </c>
      <c r="K358" s="23">
        <f t="shared" si="4"/>
        <v>2066110.51</v>
      </c>
      <c r="L358" s="29"/>
      <c r="M358" s="23"/>
    </row>
    <row r="359" ht="15.75" customHeight="1">
      <c r="A359" s="22">
        <v>358.0</v>
      </c>
      <c r="B359" s="22">
        <f t="shared" si="1"/>
        <v>30</v>
      </c>
      <c r="C359" s="23">
        <f>C358*(1+'Parâmetros'!$B$16)</f>
        <v>9114.509438</v>
      </c>
      <c r="D359" s="29">
        <f t="shared" si="6"/>
        <v>9114.509438</v>
      </c>
      <c r="E359" s="23">
        <f t="shared" si="5"/>
        <v>3121166.88</v>
      </c>
      <c r="F359" s="23">
        <f>E359*'Parâmetros'!$B$13</f>
        <v>24888.623</v>
      </c>
      <c r="G359" s="23">
        <f t="shared" si="2"/>
        <v>3155170.012</v>
      </c>
      <c r="H359" s="23">
        <f>G359/(1+'Parâmetros'!$B$14)^A359</f>
        <v>735995.8124</v>
      </c>
      <c r="I359" s="25">
        <f>H359/'Parâmetros'!$B$7</f>
        <v>0.7359958124</v>
      </c>
      <c r="J359" s="23">
        <f t="shared" si="3"/>
        <v>1064170.879</v>
      </c>
      <c r="K359" s="23">
        <f t="shared" si="4"/>
        <v>2090999.133</v>
      </c>
      <c r="L359" s="29"/>
      <c r="M359" s="23"/>
    </row>
    <row r="360" ht="15.75" customHeight="1">
      <c r="A360" s="22">
        <v>359.0</v>
      </c>
      <c r="B360" s="22">
        <f t="shared" si="1"/>
        <v>30</v>
      </c>
      <c r="C360" s="23">
        <f>C359*(1+'Parâmetros'!$B$16)</f>
        <v>9188.928005</v>
      </c>
      <c r="D360" s="29">
        <f t="shared" si="6"/>
        <v>9188.928005</v>
      </c>
      <c r="E360" s="23">
        <f t="shared" si="5"/>
        <v>3155170.012</v>
      </c>
      <c r="F360" s="23">
        <f>E360*'Parâmetros'!$B$13</f>
        <v>25159.76876</v>
      </c>
      <c r="G360" s="23">
        <f t="shared" si="2"/>
        <v>3189518.709</v>
      </c>
      <c r="H360" s="23">
        <f>G360/(1+'Parâmetros'!$B$14)^A360</f>
        <v>740989.3342</v>
      </c>
      <c r="I360" s="25">
        <f>H360/'Parâmetros'!$B$7</f>
        <v>0.7409893342</v>
      </c>
      <c r="J360" s="23">
        <f t="shared" si="3"/>
        <v>1073359.807</v>
      </c>
      <c r="K360" s="23">
        <f t="shared" si="4"/>
        <v>2116158.902</v>
      </c>
      <c r="L360" s="29"/>
      <c r="M360" s="23"/>
    </row>
    <row r="361" ht="15.75" customHeight="1">
      <c r="A361" s="22">
        <v>360.0</v>
      </c>
      <c r="B361" s="22">
        <f t="shared" si="1"/>
        <v>30</v>
      </c>
      <c r="C361" s="23">
        <f>C360*(1+'Parâmetros'!$B$16)</f>
        <v>9263.954187</v>
      </c>
      <c r="D361" s="29">
        <f t="shared" si="6"/>
        <v>9263.954187</v>
      </c>
      <c r="E361" s="23">
        <f t="shared" si="5"/>
        <v>3189518.709</v>
      </c>
      <c r="F361" s="23">
        <f>E361*'Parâmetros'!$B$13</f>
        <v>25433.67009</v>
      </c>
      <c r="G361" s="23">
        <f t="shared" si="2"/>
        <v>3224216.333</v>
      </c>
      <c r="H361" s="23">
        <f>G361/(1+'Parâmetros'!$B$14)^A361</f>
        <v>746010.9491</v>
      </c>
      <c r="I361" s="25">
        <f>H361/'Parâmetros'!$B$7</f>
        <v>0.7460109491</v>
      </c>
      <c r="J361" s="23">
        <f t="shared" si="3"/>
        <v>1082623.761</v>
      </c>
      <c r="K361" s="23">
        <f t="shared" si="4"/>
        <v>2141592.572</v>
      </c>
      <c r="L361" s="29"/>
      <c r="M361" s="23"/>
    </row>
    <row r="362" ht="15.75" customHeight="1">
      <c r="A362" s="30">
        <v>361.0</v>
      </c>
      <c r="B362" s="30">
        <f t="shared" si="1"/>
        <v>31</v>
      </c>
      <c r="C362" s="31">
        <f>C361*(1+'Parâmetros'!$B$16)</f>
        <v>9339.592947</v>
      </c>
      <c r="D362" s="32">
        <f t="shared" si="6"/>
        <v>9339.592947</v>
      </c>
      <c r="E362" s="31">
        <f t="shared" si="5"/>
        <v>3224216.333</v>
      </c>
      <c r="F362" s="31">
        <f>E362*'Parâmetros'!$B$13</f>
        <v>25710.35382</v>
      </c>
      <c r="G362" s="31">
        <f t="shared" si="2"/>
        <v>3259266.28</v>
      </c>
      <c r="H362" s="31">
        <f>G362/(1+'Parâmetros'!$B$14)^A362</f>
        <v>751060.8017</v>
      </c>
      <c r="I362" s="33">
        <f>H362/'Parâmetros'!$B$7</f>
        <v>0.7510608017</v>
      </c>
      <c r="J362" s="31">
        <f t="shared" si="3"/>
        <v>1091963.354</v>
      </c>
      <c r="K362" s="31">
        <f t="shared" si="4"/>
        <v>2167302.926</v>
      </c>
      <c r="L362" s="29"/>
      <c r="M362" s="23"/>
    </row>
    <row r="363" ht="15.75" customHeight="1">
      <c r="A363" s="22">
        <v>362.0</v>
      </c>
      <c r="B363" s="22">
        <f t="shared" si="1"/>
        <v>31</v>
      </c>
      <c r="C363" s="23">
        <f>C362*(1+'Parâmetros'!$B$16)</f>
        <v>9415.849286</v>
      </c>
      <c r="D363" s="29">
        <f t="shared" si="6"/>
        <v>9415.849286</v>
      </c>
      <c r="E363" s="23">
        <f t="shared" si="5"/>
        <v>3259266.28</v>
      </c>
      <c r="F363" s="23">
        <f>E363*'Parâmetros'!$B$13</f>
        <v>25989.84701</v>
      </c>
      <c r="G363" s="23">
        <f t="shared" si="2"/>
        <v>3294671.976</v>
      </c>
      <c r="H363" s="23">
        <f>G363/(1+'Parâmetros'!$B$14)^A363</f>
        <v>756139.0372</v>
      </c>
      <c r="I363" s="25">
        <f>H363/'Parâmetros'!$B$7</f>
        <v>0.7561390372</v>
      </c>
      <c r="J363" s="23">
        <f t="shared" si="3"/>
        <v>1101379.204</v>
      </c>
      <c r="K363" s="23">
        <f t="shared" si="4"/>
        <v>2193292.773</v>
      </c>
      <c r="L363" s="29"/>
      <c r="M363" s="23"/>
    </row>
    <row r="364" ht="15.75" customHeight="1">
      <c r="A364" s="22">
        <v>363.0</v>
      </c>
      <c r="B364" s="22">
        <f t="shared" si="1"/>
        <v>31</v>
      </c>
      <c r="C364" s="23">
        <f>C363*(1+'Parâmetros'!$B$16)</f>
        <v>9492.728246</v>
      </c>
      <c r="D364" s="29">
        <f t="shared" si="6"/>
        <v>9492.728246</v>
      </c>
      <c r="E364" s="23">
        <f t="shared" si="5"/>
        <v>3294671.976</v>
      </c>
      <c r="F364" s="23">
        <f>E364*'Parâmetros'!$B$13</f>
        <v>26272.17701</v>
      </c>
      <c r="G364" s="23">
        <f t="shared" si="2"/>
        <v>3330436.882</v>
      </c>
      <c r="H364" s="23">
        <f>G364/(1+'Parâmetros'!$B$14)^A364</f>
        <v>761245.8017</v>
      </c>
      <c r="I364" s="25">
        <f>H364/'Parâmetros'!$B$7</f>
        <v>0.7612458017</v>
      </c>
      <c r="J364" s="23">
        <f t="shared" si="3"/>
        <v>1110871.932</v>
      </c>
      <c r="K364" s="23">
        <f t="shared" si="4"/>
        <v>2219564.95</v>
      </c>
      <c r="L364" s="29"/>
      <c r="M364" s="23"/>
    </row>
    <row r="365" ht="15.75" customHeight="1">
      <c r="A365" s="22">
        <v>364.0</v>
      </c>
      <c r="B365" s="22">
        <f t="shared" si="1"/>
        <v>31</v>
      </c>
      <c r="C365" s="23">
        <f>C364*(1+'Parâmetros'!$B$16)</f>
        <v>9570.23491</v>
      </c>
      <c r="D365" s="29">
        <f t="shared" si="6"/>
        <v>9570.23491</v>
      </c>
      <c r="E365" s="23">
        <f t="shared" si="5"/>
        <v>3330436.882</v>
      </c>
      <c r="F365" s="23">
        <f>E365*'Parâmetros'!$B$13</f>
        <v>26557.37138</v>
      </c>
      <c r="G365" s="23">
        <f t="shared" si="2"/>
        <v>3366564.488</v>
      </c>
      <c r="H365" s="23">
        <f>G365/(1+'Parâmetros'!$B$14)^A365</f>
        <v>766381.2417</v>
      </c>
      <c r="I365" s="25">
        <f>H365/'Parâmetros'!$B$7</f>
        <v>0.7663812417</v>
      </c>
      <c r="J365" s="23">
        <f t="shared" si="3"/>
        <v>1120442.167</v>
      </c>
      <c r="K365" s="23">
        <f t="shared" si="4"/>
        <v>2246122.321</v>
      </c>
      <c r="L365" s="29"/>
      <c r="M365" s="23"/>
    </row>
    <row r="366" ht="15.75" customHeight="1">
      <c r="A366" s="22">
        <v>365.0</v>
      </c>
      <c r="B366" s="22">
        <f t="shared" si="1"/>
        <v>31</v>
      </c>
      <c r="C366" s="23">
        <f>C365*(1+'Parâmetros'!$B$16)</f>
        <v>9648.374405</v>
      </c>
      <c r="D366" s="29">
        <f t="shared" si="6"/>
        <v>9648.374405</v>
      </c>
      <c r="E366" s="23">
        <f t="shared" si="5"/>
        <v>3366564.488</v>
      </c>
      <c r="F366" s="23">
        <f>E366*'Parâmetros'!$B$13</f>
        <v>26845.45799</v>
      </c>
      <c r="G366" s="23">
        <f t="shared" si="2"/>
        <v>3403058.32</v>
      </c>
      <c r="H366" s="23">
        <f>G366/(1+'Parâmetros'!$B$14)^A366</f>
        <v>771545.5047</v>
      </c>
      <c r="I366" s="25">
        <f>H366/'Parâmetros'!$B$7</f>
        <v>0.7715455047</v>
      </c>
      <c r="J366" s="23">
        <f t="shared" si="3"/>
        <v>1130090.541</v>
      </c>
      <c r="K366" s="23">
        <f t="shared" si="4"/>
        <v>2272967.779</v>
      </c>
      <c r="L366" s="29"/>
      <c r="M366" s="23"/>
    </row>
    <row r="367" ht="15.75" customHeight="1">
      <c r="A367" s="22">
        <v>366.0</v>
      </c>
      <c r="B367" s="22">
        <f t="shared" si="1"/>
        <v>31</v>
      </c>
      <c r="C367" s="23">
        <f>C366*(1+'Parâmetros'!$B$16)</f>
        <v>9727.151897</v>
      </c>
      <c r="D367" s="29">
        <f t="shared" si="6"/>
        <v>9727.151897</v>
      </c>
      <c r="E367" s="23">
        <f t="shared" si="5"/>
        <v>3403058.32</v>
      </c>
      <c r="F367" s="23">
        <f>E367*'Parâmetros'!$B$13</f>
        <v>27136.46493</v>
      </c>
      <c r="G367" s="23">
        <f t="shared" si="2"/>
        <v>3439921.937</v>
      </c>
      <c r="H367" s="23">
        <f>G367/(1+'Parâmetros'!$B$14)^A367</f>
        <v>776738.7388</v>
      </c>
      <c r="I367" s="25">
        <f>H367/'Parâmetros'!$B$7</f>
        <v>0.7767387388</v>
      </c>
      <c r="J367" s="23">
        <f t="shared" si="3"/>
        <v>1139817.693</v>
      </c>
      <c r="K367" s="23">
        <f t="shared" si="4"/>
        <v>2300104.244</v>
      </c>
      <c r="L367" s="29"/>
      <c r="M367" s="23"/>
    </row>
    <row r="368" ht="15.75" customHeight="1">
      <c r="A368" s="22">
        <v>367.0</v>
      </c>
      <c r="B368" s="22">
        <f t="shared" si="1"/>
        <v>31</v>
      </c>
      <c r="C368" s="23">
        <f>C367*(1+'Parâmetros'!$B$16)</f>
        <v>9806.572594</v>
      </c>
      <c r="D368" s="29">
        <f t="shared" si="6"/>
        <v>9806.572594</v>
      </c>
      <c r="E368" s="23">
        <f t="shared" si="5"/>
        <v>3439921.937</v>
      </c>
      <c r="F368" s="23">
        <f>E368*'Parâmetros'!$B$13</f>
        <v>27430.42059</v>
      </c>
      <c r="G368" s="23">
        <f t="shared" si="2"/>
        <v>3477158.93</v>
      </c>
      <c r="H368" s="23">
        <f>G368/(1+'Parâmetros'!$B$14)^A368</f>
        <v>781961.0928</v>
      </c>
      <c r="I368" s="25">
        <f>H368/'Parâmetros'!$B$7</f>
        <v>0.7819610928</v>
      </c>
      <c r="J368" s="23">
        <f t="shared" si="3"/>
        <v>1149624.266</v>
      </c>
      <c r="K368" s="23">
        <f t="shared" si="4"/>
        <v>2327534.665</v>
      </c>
      <c r="L368" s="29"/>
      <c r="M368" s="23"/>
    </row>
    <row r="369" ht="15.75" customHeight="1">
      <c r="A369" s="22">
        <v>368.0</v>
      </c>
      <c r="B369" s="22">
        <f t="shared" si="1"/>
        <v>31</v>
      </c>
      <c r="C369" s="23">
        <f>C368*(1+'Parâmetros'!$B$16)</f>
        <v>9886.64175</v>
      </c>
      <c r="D369" s="29">
        <f t="shared" si="6"/>
        <v>9886.64175</v>
      </c>
      <c r="E369" s="23">
        <f t="shared" si="5"/>
        <v>3477158.93</v>
      </c>
      <c r="F369" s="23">
        <f>E369*'Parâmetros'!$B$13</f>
        <v>27727.3536</v>
      </c>
      <c r="G369" s="23">
        <f t="shared" si="2"/>
        <v>3514772.926</v>
      </c>
      <c r="H369" s="23">
        <f>G369/(1+'Parâmetros'!$B$14)^A369</f>
        <v>787212.7163</v>
      </c>
      <c r="I369" s="25">
        <f>H369/'Parâmetros'!$B$7</f>
        <v>0.7872127163</v>
      </c>
      <c r="J369" s="23">
        <f t="shared" si="3"/>
        <v>1159510.907</v>
      </c>
      <c r="K369" s="23">
        <f t="shared" si="4"/>
        <v>2355262.018</v>
      </c>
      <c r="L369" s="29"/>
      <c r="M369" s="23"/>
    </row>
    <row r="370" ht="15.75" customHeight="1">
      <c r="A370" s="22">
        <v>369.0</v>
      </c>
      <c r="B370" s="22">
        <f t="shared" si="1"/>
        <v>31</v>
      </c>
      <c r="C370" s="23">
        <f>C369*(1+'Parâmetros'!$B$16)</f>
        <v>9967.364658</v>
      </c>
      <c r="D370" s="29">
        <f t="shared" si="6"/>
        <v>9967.364658</v>
      </c>
      <c r="E370" s="23">
        <f t="shared" si="5"/>
        <v>3514772.926</v>
      </c>
      <c r="F370" s="23">
        <f>E370*'Parâmetros'!$B$13</f>
        <v>28027.29289</v>
      </c>
      <c r="G370" s="23">
        <f t="shared" si="2"/>
        <v>3552767.583</v>
      </c>
      <c r="H370" s="23">
        <f>G370/(1+'Parâmetros'!$B$14)^A370</f>
        <v>792493.7596</v>
      </c>
      <c r="I370" s="25">
        <f>H370/'Parâmetros'!$B$7</f>
        <v>0.7924937596</v>
      </c>
      <c r="J370" s="23">
        <f t="shared" si="3"/>
        <v>1169478.272</v>
      </c>
      <c r="K370" s="23">
        <f t="shared" si="4"/>
        <v>2383289.311</v>
      </c>
      <c r="L370" s="29"/>
      <c r="M370" s="23"/>
    </row>
    <row r="371" ht="15.75" customHeight="1">
      <c r="A371" s="22">
        <v>370.0</v>
      </c>
      <c r="B371" s="22">
        <f t="shared" si="1"/>
        <v>31</v>
      </c>
      <c r="C371" s="23">
        <f>C370*(1+'Parâmetros'!$B$16)</f>
        <v>10048.74666</v>
      </c>
      <c r="D371" s="29">
        <f t="shared" si="6"/>
        <v>10048.74666</v>
      </c>
      <c r="E371" s="23">
        <f t="shared" si="5"/>
        <v>3552767.583</v>
      </c>
      <c r="F371" s="23">
        <f>E371*'Parâmetros'!$B$13</f>
        <v>28330.26762</v>
      </c>
      <c r="G371" s="23">
        <f t="shared" si="2"/>
        <v>3591146.598</v>
      </c>
      <c r="H371" s="23">
        <f>G371/(1+'Parâmetros'!$B$14)^A371</f>
        <v>797804.3738</v>
      </c>
      <c r="I371" s="25">
        <f>H371/'Parâmetros'!$B$7</f>
        <v>0.7978043738</v>
      </c>
      <c r="J371" s="23">
        <f t="shared" si="3"/>
        <v>1179527.019</v>
      </c>
      <c r="K371" s="23">
        <f t="shared" si="4"/>
        <v>2411619.579</v>
      </c>
      <c r="L371" s="29"/>
      <c r="M371" s="23"/>
    </row>
    <row r="372" ht="15.75" customHeight="1">
      <c r="A372" s="22">
        <v>371.0</v>
      </c>
      <c r="B372" s="22">
        <f t="shared" si="1"/>
        <v>31</v>
      </c>
      <c r="C372" s="23">
        <f>C371*(1+'Parâmetros'!$B$16)</f>
        <v>10130.79313</v>
      </c>
      <c r="D372" s="29">
        <f t="shared" si="6"/>
        <v>10130.79313</v>
      </c>
      <c r="E372" s="23">
        <f t="shared" si="5"/>
        <v>3591146.598</v>
      </c>
      <c r="F372" s="23">
        <f>E372*'Parâmetros'!$B$13</f>
        <v>28636.30727</v>
      </c>
      <c r="G372" s="23">
        <f t="shared" si="2"/>
        <v>3629913.698</v>
      </c>
      <c r="H372" s="23">
        <f>G372/(1+'Parâmetros'!$B$14)^A372</f>
        <v>803144.7105</v>
      </c>
      <c r="I372" s="25">
        <f>H372/'Parâmetros'!$B$7</f>
        <v>0.8031447105</v>
      </c>
      <c r="J372" s="23">
        <f t="shared" si="3"/>
        <v>1189657.812</v>
      </c>
      <c r="K372" s="23">
        <f t="shared" si="4"/>
        <v>2440255.886</v>
      </c>
      <c r="L372" s="29"/>
      <c r="M372" s="23"/>
    </row>
    <row r="373" ht="15.75" customHeight="1">
      <c r="A373" s="22">
        <v>372.0</v>
      </c>
      <c r="B373" s="22">
        <f t="shared" si="1"/>
        <v>31</v>
      </c>
      <c r="C373" s="23">
        <f>C372*(1+'Parâmetros'!$B$16)</f>
        <v>10213.50949</v>
      </c>
      <c r="D373" s="29">
        <f t="shared" si="6"/>
        <v>10213.50949</v>
      </c>
      <c r="E373" s="23">
        <f t="shared" si="5"/>
        <v>3629913.698</v>
      </c>
      <c r="F373" s="23">
        <f>E373*'Parâmetros'!$B$13</f>
        <v>28945.44157</v>
      </c>
      <c r="G373" s="23">
        <f t="shared" si="2"/>
        <v>3669072.649</v>
      </c>
      <c r="H373" s="23">
        <f>G373/(1+'Parâmetros'!$B$14)^A373</f>
        <v>808514.9223</v>
      </c>
      <c r="I373" s="25">
        <f>H373/'Parâmetros'!$B$7</f>
        <v>0.8085149223</v>
      </c>
      <c r="J373" s="23">
        <f t="shared" si="3"/>
        <v>1199871.321</v>
      </c>
      <c r="K373" s="23">
        <f t="shared" si="4"/>
        <v>2469201.328</v>
      </c>
      <c r="L373" s="29"/>
      <c r="M373" s="23"/>
    </row>
    <row r="374" ht="15.75" customHeight="1">
      <c r="A374" s="22">
        <v>373.0</v>
      </c>
      <c r="B374" s="22">
        <f t="shared" si="1"/>
        <v>32</v>
      </c>
      <c r="C374" s="23">
        <f>C373*(1+'Parâmetros'!$B$16)</f>
        <v>10296.90122</v>
      </c>
      <c r="D374" s="29">
        <f t="shared" si="6"/>
        <v>10296.90122</v>
      </c>
      <c r="E374" s="23">
        <f t="shared" si="5"/>
        <v>3669072.649</v>
      </c>
      <c r="F374" s="23">
        <f>E374*'Parâmetros'!$B$13</f>
        <v>29257.70055</v>
      </c>
      <c r="G374" s="23">
        <f t="shared" si="2"/>
        <v>3708627.251</v>
      </c>
      <c r="H374" s="23">
        <f>G374/(1+'Parâmetros'!$B$14)^A374</f>
        <v>813915.1625</v>
      </c>
      <c r="I374" s="25">
        <f>H374/'Parâmetros'!$B$7</f>
        <v>0.8139151625</v>
      </c>
      <c r="J374" s="23">
        <f t="shared" si="3"/>
        <v>1210168.223</v>
      </c>
      <c r="K374" s="23">
        <f t="shared" si="4"/>
        <v>2498459.028</v>
      </c>
      <c r="L374" s="29"/>
      <c r="M374" s="23"/>
    </row>
    <row r="375" ht="15.75" customHeight="1">
      <c r="A375" s="22">
        <v>374.0</v>
      </c>
      <c r="B375" s="22">
        <f t="shared" si="1"/>
        <v>32</v>
      </c>
      <c r="C375" s="23">
        <f>C374*(1+'Parâmetros'!$B$16)</f>
        <v>10380.97384</v>
      </c>
      <c r="D375" s="29">
        <f t="shared" si="6"/>
        <v>10380.97384</v>
      </c>
      <c r="E375" s="23">
        <f t="shared" si="5"/>
        <v>3708627.251</v>
      </c>
      <c r="F375" s="23">
        <f>E375*'Parâmetros'!$B$13</f>
        <v>29573.1145</v>
      </c>
      <c r="G375" s="23">
        <f t="shared" si="2"/>
        <v>3748581.339</v>
      </c>
      <c r="H375" s="23">
        <f>G375/(1+'Parâmetros'!$B$14)^A375</f>
        <v>819345.585</v>
      </c>
      <c r="I375" s="25">
        <f>H375/'Parâmetros'!$B$7</f>
        <v>0.819345585</v>
      </c>
      <c r="J375" s="23">
        <f t="shared" si="3"/>
        <v>1220549.196</v>
      </c>
      <c r="K375" s="23">
        <f t="shared" si="4"/>
        <v>2528032.143</v>
      </c>
      <c r="L375" s="29"/>
      <c r="M375" s="23"/>
    </row>
    <row r="376" ht="15.75" customHeight="1">
      <c r="A376" s="22">
        <v>375.0</v>
      </c>
      <c r="B376" s="22">
        <f t="shared" si="1"/>
        <v>32</v>
      </c>
      <c r="C376" s="23">
        <f>C375*(1+'Parâmetros'!$B$16)</f>
        <v>10465.73289</v>
      </c>
      <c r="D376" s="29">
        <f t="shared" si="6"/>
        <v>10465.73289</v>
      </c>
      <c r="E376" s="23">
        <f t="shared" si="5"/>
        <v>3748581.339</v>
      </c>
      <c r="F376" s="23">
        <f>E376*'Parâmetros'!$B$13</f>
        <v>29891.71401</v>
      </c>
      <c r="G376" s="23">
        <f t="shared" si="2"/>
        <v>3788938.786</v>
      </c>
      <c r="H376" s="23">
        <f>G376/(1+'Parâmetros'!$B$14)^A376</f>
        <v>824806.3445</v>
      </c>
      <c r="I376" s="25">
        <f>H376/'Parâmetros'!$B$7</f>
        <v>0.8248063445</v>
      </c>
      <c r="J376" s="23">
        <f t="shared" si="3"/>
        <v>1231014.929</v>
      </c>
      <c r="K376" s="23">
        <f t="shared" si="4"/>
        <v>2557923.857</v>
      </c>
      <c r="L376" s="29"/>
      <c r="M376" s="23"/>
    </row>
    <row r="377" ht="15.75" customHeight="1">
      <c r="A377" s="22">
        <v>376.0</v>
      </c>
      <c r="B377" s="22">
        <f t="shared" si="1"/>
        <v>32</v>
      </c>
      <c r="C377" s="23">
        <f>C376*(1+'Parâmetros'!$B$16)</f>
        <v>10551.18399</v>
      </c>
      <c r="D377" s="29">
        <f t="shared" si="6"/>
        <v>10551.18399</v>
      </c>
      <c r="E377" s="23">
        <f t="shared" si="5"/>
        <v>3788938.786</v>
      </c>
      <c r="F377" s="23">
        <f>E377*'Parâmetros'!$B$13</f>
        <v>30213.52996</v>
      </c>
      <c r="G377" s="23">
        <f t="shared" si="2"/>
        <v>3829703.5</v>
      </c>
      <c r="H377" s="23">
        <f>G377/(1+'Parâmetros'!$B$14)^A377</f>
        <v>830297.5967</v>
      </c>
      <c r="I377" s="25">
        <f>H377/'Parâmetros'!$B$7</f>
        <v>0.8302975967</v>
      </c>
      <c r="J377" s="23">
        <f t="shared" si="3"/>
        <v>1241566.113</v>
      </c>
      <c r="K377" s="23">
        <f t="shared" si="4"/>
        <v>2588137.387</v>
      </c>
      <c r="L377" s="29"/>
      <c r="M377" s="23"/>
    </row>
    <row r="378" ht="15.75" customHeight="1">
      <c r="A378" s="22">
        <v>377.0</v>
      </c>
      <c r="B378" s="22">
        <f t="shared" si="1"/>
        <v>32</v>
      </c>
      <c r="C378" s="23">
        <f>C377*(1+'Parâmetros'!$B$16)</f>
        <v>10637.33278</v>
      </c>
      <c r="D378" s="29">
        <f t="shared" si="6"/>
        <v>10637.33278</v>
      </c>
      <c r="E378" s="23">
        <f t="shared" si="5"/>
        <v>3829703.5</v>
      </c>
      <c r="F378" s="23">
        <f>E378*'Parâmetros'!$B$13</f>
        <v>30538.59351</v>
      </c>
      <c r="G378" s="23">
        <f t="shared" si="2"/>
        <v>3870879.426</v>
      </c>
      <c r="H378" s="23">
        <f>G378/(1+'Parâmetros'!$B$14)^A378</f>
        <v>835819.4976</v>
      </c>
      <c r="I378" s="25">
        <f>H378/'Parâmetros'!$B$7</f>
        <v>0.8358194976</v>
      </c>
      <c r="J378" s="23">
        <f t="shared" si="3"/>
        <v>1252203.446</v>
      </c>
      <c r="K378" s="23">
        <f t="shared" si="4"/>
        <v>2618675.98</v>
      </c>
      <c r="L378" s="29"/>
      <c r="M378" s="23"/>
    </row>
    <row r="379" ht="15.75" customHeight="1">
      <c r="A379" s="22">
        <v>378.0</v>
      </c>
      <c r="B379" s="22">
        <f t="shared" si="1"/>
        <v>32</v>
      </c>
      <c r="C379" s="23">
        <f>C378*(1+'Parâmetros'!$B$16)</f>
        <v>10724.18497</v>
      </c>
      <c r="D379" s="29">
        <f t="shared" si="6"/>
        <v>10724.18497</v>
      </c>
      <c r="E379" s="23">
        <f t="shared" si="5"/>
        <v>3870879.426</v>
      </c>
      <c r="F379" s="23">
        <f>E379*'Parâmetros'!$B$13</f>
        <v>30866.93613</v>
      </c>
      <c r="G379" s="23">
        <f t="shared" si="2"/>
        <v>3912470.547</v>
      </c>
      <c r="H379" s="23">
        <f>G379/(1+'Parâmetros'!$B$14)^A379</f>
        <v>841372.2044</v>
      </c>
      <c r="I379" s="25">
        <f>H379/'Parâmetros'!$B$7</f>
        <v>0.8413722044</v>
      </c>
      <c r="J379" s="23">
        <f t="shared" si="3"/>
        <v>1262927.631</v>
      </c>
      <c r="K379" s="23">
        <f t="shared" si="4"/>
        <v>2649542.916</v>
      </c>
      <c r="L379" s="29"/>
      <c r="M379" s="23"/>
    </row>
    <row r="380" ht="15.75" customHeight="1">
      <c r="A380" s="22">
        <v>379.0</v>
      </c>
      <c r="B380" s="22">
        <f t="shared" si="1"/>
        <v>32</v>
      </c>
      <c r="C380" s="23">
        <f>C379*(1+'Parâmetros'!$B$16)</f>
        <v>10811.74629</v>
      </c>
      <c r="D380" s="29">
        <f t="shared" si="6"/>
        <v>10811.74629</v>
      </c>
      <c r="E380" s="23">
        <f t="shared" si="5"/>
        <v>3912470.547</v>
      </c>
      <c r="F380" s="23">
        <f>E380*'Parâmetros'!$B$13</f>
        <v>31198.58957</v>
      </c>
      <c r="G380" s="23">
        <f t="shared" si="2"/>
        <v>3954480.883</v>
      </c>
      <c r="H380" s="23">
        <f>G380/(1+'Parâmetros'!$B$14)^A380</f>
        <v>846955.8748</v>
      </c>
      <c r="I380" s="25">
        <f>H380/'Parâmetros'!$B$7</f>
        <v>0.8469558748</v>
      </c>
      <c r="J380" s="23">
        <f t="shared" si="3"/>
        <v>1273739.377</v>
      </c>
      <c r="K380" s="23">
        <f t="shared" si="4"/>
        <v>2680741.506</v>
      </c>
      <c r="L380" s="29"/>
      <c r="M380" s="23"/>
    </row>
    <row r="381" ht="15.75" customHeight="1">
      <c r="A381" s="22">
        <v>380.0</v>
      </c>
      <c r="B381" s="22">
        <f t="shared" si="1"/>
        <v>32</v>
      </c>
      <c r="C381" s="23">
        <f>C380*(1+'Parâmetros'!$B$16)</f>
        <v>10900.02253</v>
      </c>
      <c r="D381" s="29">
        <f t="shared" si="6"/>
        <v>10900.02253</v>
      </c>
      <c r="E381" s="23">
        <f t="shared" si="5"/>
        <v>3954480.883</v>
      </c>
      <c r="F381" s="23">
        <f>E381*'Parâmetros'!$B$13</f>
        <v>31533.58589</v>
      </c>
      <c r="G381" s="23">
        <f t="shared" si="2"/>
        <v>3996914.492</v>
      </c>
      <c r="H381" s="23">
        <f>G381/(1+'Parâmetros'!$B$14)^A381</f>
        <v>852570.6674</v>
      </c>
      <c r="I381" s="25">
        <f>H381/'Parâmetros'!$B$7</f>
        <v>0.8525706674</v>
      </c>
      <c r="J381" s="23">
        <f t="shared" si="3"/>
        <v>1284639.4</v>
      </c>
      <c r="K381" s="23">
        <f t="shared" si="4"/>
        <v>2712275.092</v>
      </c>
      <c r="L381" s="29"/>
      <c r="M381" s="23"/>
    </row>
    <row r="382" ht="15.75" customHeight="1">
      <c r="A382" s="22">
        <v>381.0</v>
      </c>
      <c r="B382" s="22">
        <f t="shared" si="1"/>
        <v>32</v>
      </c>
      <c r="C382" s="23">
        <f>C381*(1+'Parâmetros'!$B$16)</f>
        <v>10989.01954</v>
      </c>
      <c r="D382" s="29">
        <f t="shared" si="6"/>
        <v>10989.01954</v>
      </c>
      <c r="E382" s="23">
        <f t="shared" si="5"/>
        <v>3996914.492</v>
      </c>
      <c r="F382" s="23">
        <f>E382*'Parâmetros'!$B$13</f>
        <v>31871.95744</v>
      </c>
      <c r="G382" s="23">
        <f t="shared" si="2"/>
        <v>4039775.469</v>
      </c>
      <c r="H382" s="23">
        <f>G382/(1+'Parâmetros'!$B$14)^A382</f>
        <v>858216.7414</v>
      </c>
      <c r="I382" s="25">
        <f>H382/'Parâmetros'!$B$7</f>
        <v>0.8582167414</v>
      </c>
      <c r="J382" s="23">
        <f t="shared" si="3"/>
        <v>1295628.419</v>
      </c>
      <c r="K382" s="23">
        <f t="shared" si="4"/>
        <v>2744147.049</v>
      </c>
      <c r="L382" s="29"/>
      <c r="M382" s="23"/>
    </row>
    <row r="383" ht="15.75" customHeight="1">
      <c r="A383" s="22">
        <v>382.0</v>
      </c>
      <c r="B383" s="22">
        <f t="shared" si="1"/>
        <v>32</v>
      </c>
      <c r="C383" s="23">
        <f>C382*(1+'Parâmetros'!$B$16)</f>
        <v>11078.74319</v>
      </c>
      <c r="D383" s="29">
        <f t="shared" si="6"/>
        <v>11078.74319</v>
      </c>
      <c r="E383" s="23">
        <f t="shared" si="5"/>
        <v>4039775.469</v>
      </c>
      <c r="F383" s="23">
        <f>E383*'Parâmetros'!$B$13</f>
        <v>32213.73689</v>
      </c>
      <c r="G383" s="23">
        <f t="shared" si="2"/>
        <v>4083067.949</v>
      </c>
      <c r="H383" s="23">
        <f>G383/(1+'Parâmetros'!$B$14)^A383</f>
        <v>863894.257</v>
      </c>
      <c r="I383" s="25">
        <f>H383/'Parâmetros'!$B$7</f>
        <v>0.863894257</v>
      </c>
      <c r="J383" s="23">
        <f t="shared" si="3"/>
        <v>1306707.163</v>
      </c>
      <c r="K383" s="23">
        <f t="shared" si="4"/>
        <v>2776360.786</v>
      </c>
      <c r="L383" s="29"/>
      <c r="M383" s="23"/>
    </row>
    <row r="384" ht="15.75" customHeight="1">
      <c r="A384" s="22">
        <v>383.0</v>
      </c>
      <c r="B384" s="22">
        <f t="shared" si="1"/>
        <v>32</v>
      </c>
      <c r="C384" s="23">
        <f>C383*(1+'Parâmetros'!$B$16)</f>
        <v>11169.19942</v>
      </c>
      <c r="D384" s="29">
        <f t="shared" si="6"/>
        <v>11169.19942</v>
      </c>
      <c r="E384" s="23">
        <f t="shared" si="5"/>
        <v>4083067.949</v>
      </c>
      <c r="F384" s="23">
        <f>E384*'Parâmetros'!$B$13</f>
        <v>32558.9572</v>
      </c>
      <c r="G384" s="23">
        <f t="shared" si="2"/>
        <v>4126796.105</v>
      </c>
      <c r="H384" s="23">
        <f>G384/(1+'Parâmetros'!$B$14)^A384</f>
        <v>869603.3751</v>
      </c>
      <c r="I384" s="25">
        <f>H384/'Parâmetros'!$B$7</f>
        <v>0.8696033751</v>
      </c>
      <c r="J384" s="23">
        <f t="shared" si="3"/>
        <v>1317876.362</v>
      </c>
      <c r="K384" s="23">
        <f t="shared" si="4"/>
        <v>2808919.743</v>
      </c>
      <c r="L384" s="29"/>
      <c r="M384" s="23"/>
    </row>
    <row r="385" ht="15.75" customHeight="1">
      <c r="A385" s="22">
        <v>384.0</v>
      </c>
      <c r="B385" s="22">
        <f t="shared" si="1"/>
        <v>32</v>
      </c>
      <c r="C385" s="23">
        <f>C384*(1+'Parâmetros'!$B$16)</f>
        <v>11260.39421</v>
      </c>
      <c r="D385" s="29">
        <f t="shared" si="6"/>
        <v>11260.39421</v>
      </c>
      <c r="E385" s="23">
        <f t="shared" si="5"/>
        <v>4126796.105</v>
      </c>
      <c r="F385" s="23">
        <f>E385*'Parâmetros'!$B$13</f>
        <v>32907.65167</v>
      </c>
      <c r="G385" s="23">
        <f t="shared" si="2"/>
        <v>4170964.151</v>
      </c>
      <c r="H385" s="23">
        <f>G385/(1+'Parâmetros'!$B$14)^A385</f>
        <v>875344.2574</v>
      </c>
      <c r="I385" s="25">
        <f>H385/'Parâmetros'!$B$7</f>
        <v>0.8753442574</v>
      </c>
      <c r="J385" s="23">
        <f t="shared" si="3"/>
        <v>1329136.756</v>
      </c>
      <c r="K385" s="23">
        <f t="shared" si="4"/>
        <v>2841827.395</v>
      </c>
      <c r="L385" s="29"/>
      <c r="M385" s="23"/>
    </row>
    <row r="386" ht="15.75" customHeight="1">
      <c r="A386" s="22">
        <v>385.0</v>
      </c>
      <c r="B386" s="22">
        <f t="shared" si="1"/>
        <v>33</v>
      </c>
      <c r="C386" s="23">
        <f>C385*(1+'Parâmetros'!$B$16)</f>
        <v>11352.3336</v>
      </c>
      <c r="D386" s="29">
        <f t="shared" si="6"/>
        <v>11352.3336</v>
      </c>
      <c r="E386" s="23">
        <f t="shared" si="5"/>
        <v>4170964.151</v>
      </c>
      <c r="F386" s="23">
        <f>E386*'Parâmetros'!$B$13</f>
        <v>33259.85387</v>
      </c>
      <c r="G386" s="23">
        <f t="shared" si="2"/>
        <v>4215576.339</v>
      </c>
      <c r="H386" s="23">
        <f>G386/(1+'Parâmetros'!$B$14)^A386</f>
        <v>881117.0661</v>
      </c>
      <c r="I386" s="25">
        <f>H386/'Parâmetros'!$B$7</f>
        <v>0.8811170661</v>
      </c>
      <c r="J386" s="23">
        <f t="shared" si="3"/>
        <v>1340489.09</v>
      </c>
      <c r="K386" s="23">
        <f t="shared" si="4"/>
        <v>2875087.249</v>
      </c>
      <c r="L386" s="29"/>
      <c r="M386" s="23"/>
    </row>
    <row r="387" ht="15.75" customHeight="1">
      <c r="A387" s="22">
        <v>386.0</v>
      </c>
      <c r="B387" s="22">
        <f t="shared" si="1"/>
        <v>33</v>
      </c>
      <c r="C387" s="23">
        <f>C386*(1+'Parâmetros'!$B$16)</f>
        <v>11445.02366</v>
      </c>
      <c r="D387" s="29">
        <f t="shared" si="6"/>
        <v>11445.02366</v>
      </c>
      <c r="E387" s="23">
        <f t="shared" si="5"/>
        <v>4215576.339</v>
      </c>
      <c r="F387" s="23">
        <f>E387*'Parâmetros'!$B$13</f>
        <v>33615.59771</v>
      </c>
      <c r="G387" s="23">
        <f t="shared" si="2"/>
        <v>4260636.96</v>
      </c>
      <c r="H387" s="23">
        <f>G387/(1+'Parâmetros'!$B$14)^A387</f>
        <v>886921.9647</v>
      </c>
      <c r="I387" s="25">
        <f>H387/'Parâmetros'!$B$7</f>
        <v>0.8869219647</v>
      </c>
      <c r="J387" s="23">
        <f t="shared" si="3"/>
        <v>1351934.114</v>
      </c>
      <c r="K387" s="23">
        <f t="shared" si="4"/>
        <v>2908702.846</v>
      </c>
      <c r="L387" s="29"/>
      <c r="M387" s="23"/>
    </row>
    <row r="388" ht="15.75" customHeight="1">
      <c r="A388" s="22">
        <v>387.0</v>
      </c>
      <c r="B388" s="22">
        <f t="shared" si="1"/>
        <v>33</v>
      </c>
      <c r="C388" s="23">
        <f>C387*(1+'Parâmetros'!$B$16)</f>
        <v>11538.47051</v>
      </c>
      <c r="D388" s="29">
        <f t="shared" si="6"/>
        <v>11538.47051</v>
      </c>
      <c r="E388" s="23">
        <f t="shared" si="5"/>
        <v>4260636.96</v>
      </c>
      <c r="F388" s="23">
        <f>E388*'Parâmetros'!$B$13</f>
        <v>33974.91744</v>
      </c>
      <c r="G388" s="23">
        <f t="shared" si="2"/>
        <v>4306150.348</v>
      </c>
      <c r="H388" s="23">
        <f>G388/(1+'Parâmetros'!$B$14)^A388</f>
        <v>892759.1171</v>
      </c>
      <c r="I388" s="25">
        <f>H388/'Parâmetros'!$B$7</f>
        <v>0.8927591171</v>
      </c>
      <c r="J388" s="23">
        <f t="shared" si="3"/>
        <v>1363472.584</v>
      </c>
      <c r="K388" s="23">
        <f t="shared" si="4"/>
        <v>2942677.764</v>
      </c>
      <c r="L388" s="29"/>
      <c r="M388" s="23"/>
    </row>
    <row r="389" ht="15.75" customHeight="1">
      <c r="A389" s="22">
        <v>388.0</v>
      </c>
      <c r="B389" s="22">
        <f t="shared" si="1"/>
        <v>33</v>
      </c>
      <c r="C389" s="23">
        <f>C388*(1+'Parâmetros'!$B$16)</f>
        <v>11632.68035</v>
      </c>
      <c r="D389" s="29">
        <f t="shared" si="6"/>
        <v>11632.68035</v>
      </c>
      <c r="E389" s="23">
        <f t="shared" si="5"/>
        <v>4306150.348</v>
      </c>
      <c r="F389" s="23">
        <f>E389*'Parâmetros'!$B$13</f>
        <v>34337.84758</v>
      </c>
      <c r="G389" s="23">
        <f t="shared" si="2"/>
        <v>4352120.876</v>
      </c>
      <c r="H389" s="23">
        <f>G389/(1+'Parâmetros'!$B$14)^A389</f>
        <v>898628.6881</v>
      </c>
      <c r="I389" s="25">
        <f>H389/'Parâmetros'!$B$7</f>
        <v>0.8986286881</v>
      </c>
      <c r="J389" s="23">
        <f t="shared" si="3"/>
        <v>1375105.264</v>
      </c>
      <c r="K389" s="23">
        <f t="shared" si="4"/>
        <v>2977015.612</v>
      </c>
      <c r="L389" s="29"/>
      <c r="M389" s="23"/>
    </row>
    <row r="390" ht="15.75" customHeight="1">
      <c r="A390" s="30">
        <v>389.0</v>
      </c>
      <c r="B390" s="30">
        <f t="shared" si="1"/>
        <v>33</v>
      </c>
      <c r="C390" s="31">
        <f>C389*(1+'Parâmetros'!$B$16)</f>
        <v>11727.65939</v>
      </c>
      <c r="D390" s="32">
        <f t="shared" si="6"/>
        <v>11727.65939</v>
      </c>
      <c r="E390" s="31">
        <f t="shared" si="5"/>
        <v>4352120.876</v>
      </c>
      <c r="F390" s="31">
        <f>E390*'Parâmetros'!$B$13</f>
        <v>34704.42303</v>
      </c>
      <c r="G390" s="31">
        <f t="shared" si="2"/>
        <v>4398552.958</v>
      </c>
      <c r="H390" s="31">
        <f>G390/(1+'Parâmetros'!$B$14)^A390</f>
        <v>904530.8434</v>
      </c>
      <c r="I390" s="33">
        <f>H390/'Parâmetros'!$B$7</f>
        <v>0.9045308434</v>
      </c>
      <c r="J390" s="31">
        <f t="shared" si="3"/>
        <v>1386832.924</v>
      </c>
      <c r="K390" s="31">
        <f t="shared" si="4"/>
        <v>3011720.035</v>
      </c>
      <c r="L390" s="29"/>
      <c r="M390" s="23"/>
    </row>
    <row r="391" ht="15.75" customHeight="1">
      <c r="A391" s="22">
        <v>390.0</v>
      </c>
      <c r="B391" s="22">
        <f t="shared" si="1"/>
        <v>33</v>
      </c>
      <c r="C391" s="23">
        <f>C390*(1+'Parâmetros'!$B$16)</f>
        <v>11823.41393</v>
      </c>
      <c r="D391" s="29">
        <f t="shared" si="6"/>
        <v>11823.41393</v>
      </c>
      <c r="E391" s="23">
        <f t="shared" si="5"/>
        <v>4398552.958</v>
      </c>
      <c r="F391" s="23">
        <f>E391*'Parâmetros'!$B$13</f>
        <v>35074.67897</v>
      </c>
      <c r="G391" s="23">
        <f t="shared" si="2"/>
        <v>4445451.051</v>
      </c>
      <c r="H391" s="23">
        <f>G391/(1+'Parâmetros'!$B$14)^A391</f>
        <v>910465.7494</v>
      </c>
      <c r="I391" s="25">
        <f>H391/'Parâmetros'!$B$7</f>
        <v>0.9104657494</v>
      </c>
      <c r="J391" s="23">
        <f t="shared" si="3"/>
        <v>1398656.338</v>
      </c>
      <c r="K391" s="23">
        <f t="shared" si="4"/>
        <v>3046794.714</v>
      </c>
      <c r="L391" s="29"/>
      <c r="M391" s="23"/>
    </row>
    <row r="392" ht="15.75" customHeight="1">
      <c r="A392" s="22">
        <v>391.0</v>
      </c>
      <c r="B392" s="22">
        <f t="shared" si="1"/>
        <v>33</v>
      </c>
      <c r="C392" s="23">
        <f>C391*(1+'Parâmetros'!$B$16)</f>
        <v>11919.95028</v>
      </c>
      <c r="D392" s="29">
        <f t="shared" si="6"/>
        <v>11919.95028</v>
      </c>
      <c r="E392" s="23">
        <f t="shared" si="5"/>
        <v>4445451.051</v>
      </c>
      <c r="F392" s="23">
        <f>E392*'Parâmetros'!$B$13</f>
        <v>35448.65095</v>
      </c>
      <c r="G392" s="23">
        <f t="shared" si="2"/>
        <v>4492819.652</v>
      </c>
      <c r="H392" s="23">
        <f>G392/(1+'Parâmetros'!$B$14)^A392</f>
        <v>916433.5734</v>
      </c>
      <c r="I392" s="25">
        <f>H392/'Parâmetros'!$B$7</f>
        <v>0.9164335734</v>
      </c>
      <c r="J392" s="23">
        <f t="shared" si="3"/>
        <v>1410576.288</v>
      </c>
      <c r="K392" s="23">
        <f t="shared" si="4"/>
        <v>3082243.364</v>
      </c>
      <c r="L392" s="29"/>
      <c r="M392" s="23"/>
    </row>
    <row r="393" ht="15.75" customHeight="1">
      <c r="A393" s="22">
        <v>392.0</v>
      </c>
      <c r="B393" s="22">
        <f t="shared" si="1"/>
        <v>33</v>
      </c>
      <c r="C393" s="23">
        <f>C392*(1+'Parâmetros'!$B$16)</f>
        <v>12017.27484</v>
      </c>
      <c r="D393" s="29">
        <f t="shared" si="6"/>
        <v>12017.27484</v>
      </c>
      <c r="E393" s="23">
        <f t="shared" si="5"/>
        <v>4492819.652</v>
      </c>
      <c r="F393" s="23">
        <f>E393*'Parâmetros'!$B$13</f>
        <v>35826.37483</v>
      </c>
      <c r="G393" s="23">
        <f t="shared" si="2"/>
        <v>4540663.302</v>
      </c>
      <c r="H393" s="23">
        <f>G393/(1+'Parâmetros'!$B$14)^A393</f>
        <v>922434.4833</v>
      </c>
      <c r="I393" s="25">
        <f>H393/'Parâmetros'!$B$7</f>
        <v>0.9224344833</v>
      </c>
      <c r="J393" s="23">
        <f t="shared" si="3"/>
        <v>1422593.563</v>
      </c>
      <c r="K393" s="23">
        <f t="shared" si="4"/>
        <v>3118069.739</v>
      </c>
      <c r="L393" s="29"/>
      <c r="M393" s="23"/>
    </row>
    <row r="394" ht="15.75" customHeight="1">
      <c r="A394" s="22">
        <v>393.0</v>
      </c>
      <c r="B394" s="22">
        <f t="shared" si="1"/>
        <v>33</v>
      </c>
      <c r="C394" s="23">
        <f>C393*(1+'Parâmetros'!$B$16)</f>
        <v>12115.39404</v>
      </c>
      <c r="D394" s="29">
        <f t="shared" si="6"/>
        <v>12115.39404</v>
      </c>
      <c r="E394" s="23">
        <f t="shared" si="5"/>
        <v>4540663.302</v>
      </c>
      <c r="F394" s="23">
        <f>E394*'Parâmetros'!$B$13</f>
        <v>36207.88681</v>
      </c>
      <c r="G394" s="23">
        <f t="shared" si="2"/>
        <v>4588986.583</v>
      </c>
      <c r="H394" s="23">
        <f>G394/(1+'Parâmetros'!$B$14)^A394</f>
        <v>928468.6482</v>
      </c>
      <c r="I394" s="25">
        <f>H394/'Parâmetros'!$B$7</f>
        <v>0.9284686482</v>
      </c>
      <c r="J394" s="23">
        <f t="shared" si="3"/>
        <v>1434708.957</v>
      </c>
      <c r="K394" s="23">
        <f t="shared" si="4"/>
        <v>3154277.626</v>
      </c>
      <c r="L394" s="29"/>
      <c r="M394" s="23"/>
    </row>
    <row r="395" ht="15.75" customHeight="1">
      <c r="A395" s="22">
        <v>394.0</v>
      </c>
      <c r="B395" s="22">
        <f t="shared" si="1"/>
        <v>33</v>
      </c>
      <c r="C395" s="23">
        <f>C394*(1+'Parâmetros'!$B$16)</f>
        <v>12214.31436</v>
      </c>
      <c r="D395" s="29">
        <f t="shared" si="6"/>
        <v>12214.31436</v>
      </c>
      <c r="E395" s="23">
        <f t="shared" si="5"/>
        <v>4588986.583</v>
      </c>
      <c r="F395" s="23">
        <f>E395*'Parâmetros'!$B$13</f>
        <v>36593.22344</v>
      </c>
      <c r="G395" s="23">
        <f t="shared" si="2"/>
        <v>4637794.121</v>
      </c>
      <c r="H395" s="23">
        <f>G395/(1+'Parâmetros'!$B$14)^A395</f>
        <v>934536.2375</v>
      </c>
      <c r="I395" s="25">
        <f>H395/'Parâmetros'!$B$7</f>
        <v>0.9345362375</v>
      </c>
      <c r="J395" s="23">
        <f t="shared" si="3"/>
        <v>1446923.271</v>
      </c>
      <c r="K395" s="23">
        <f t="shared" si="4"/>
        <v>3190870.85</v>
      </c>
      <c r="L395" s="29"/>
      <c r="M395" s="23"/>
    </row>
    <row r="396" ht="15.75" customHeight="1">
      <c r="A396" s="22">
        <v>395.0</v>
      </c>
      <c r="B396" s="22">
        <f t="shared" si="1"/>
        <v>33</v>
      </c>
      <c r="C396" s="23">
        <f>C395*(1+'Parâmetros'!$B$16)</f>
        <v>12314.04236</v>
      </c>
      <c r="D396" s="29">
        <f t="shared" si="6"/>
        <v>12314.04236</v>
      </c>
      <c r="E396" s="23">
        <f t="shared" si="5"/>
        <v>4637794.121</v>
      </c>
      <c r="F396" s="23">
        <f>E396*'Parâmetros'!$B$13</f>
        <v>36982.4216</v>
      </c>
      <c r="G396" s="23">
        <f t="shared" si="2"/>
        <v>4687090.585</v>
      </c>
      <c r="H396" s="23">
        <f>G396/(1+'Parâmetros'!$B$14)^A396</f>
        <v>940637.422</v>
      </c>
      <c r="I396" s="25">
        <f>H396/'Parâmetros'!$B$7</f>
        <v>0.940637422</v>
      </c>
      <c r="J396" s="23">
        <f t="shared" si="3"/>
        <v>1459237.314</v>
      </c>
      <c r="K396" s="23">
        <f t="shared" si="4"/>
        <v>3227853.271</v>
      </c>
      <c r="L396" s="29"/>
      <c r="M396" s="23"/>
    </row>
    <row r="397" ht="15.75" customHeight="1">
      <c r="A397" s="22">
        <v>396.0</v>
      </c>
      <c r="B397" s="22">
        <f t="shared" si="1"/>
        <v>33</v>
      </c>
      <c r="C397" s="23">
        <f>C396*(1+'Parâmetros'!$B$16)</f>
        <v>12414.58462</v>
      </c>
      <c r="D397" s="29">
        <f t="shared" si="6"/>
        <v>12414.58462</v>
      </c>
      <c r="E397" s="23">
        <f t="shared" si="5"/>
        <v>4687090.585</v>
      </c>
      <c r="F397" s="23">
        <f>E397*'Parâmetros'!$B$13</f>
        <v>37375.51853</v>
      </c>
      <c r="G397" s="23">
        <f t="shared" si="2"/>
        <v>4736880.688</v>
      </c>
      <c r="H397" s="23">
        <f>G397/(1+'Parâmetros'!$B$14)^A397</f>
        <v>946772.3729</v>
      </c>
      <c r="I397" s="25">
        <f>H397/'Parâmetros'!$B$7</f>
        <v>0.9467723729</v>
      </c>
      <c r="J397" s="23">
        <f t="shared" si="3"/>
        <v>1471651.898</v>
      </c>
      <c r="K397" s="23">
        <f t="shared" si="4"/>
        <v>3265228.79</v>
      </c>
      <c r="L397" s="29"/>
      <c r="M397" s="23"/>
    </row>
    <row r="398" ht="15.75" customHeight="1">
      <c r="A398" s="22">
        <v>397.0</v>
      </c>
      <c r="B398" s="22">
        <f t="shared" si="1"/>
        <v>34</v>
      </c>
      <c r="C398" s="23">
        <f>C397*(1+'Parâmetros'!$B$16)</f>
        <v>12515.94779</v>
      </c>
      <c r="D398" s="29">
        <f t="shared" si="6"/>
        <v>12515.94779</v>
      </c>
      <c r="E398" s="23">
        <f t="shared" si="5"/>
        <v>4736880.688</v>
      </c>
      <c r="F398" s="23">
        <f>E398*'Parâmetros'!$B$13</f>
        <v>37772.5518</v>
      </c>
      <c r="G398" s="23">
        <f t="shared" si="2"/>
        <v>4787169.187</v>
      </c>
      <c r="H398" s="23">
        <f>G398/(1+'Parâmetros'!$B$14)^A398</f>
        <v>952941.2623</v>
      </c>
      <c r="I398" s="25">
        <f>H398/'Parâmetros'!$B$7</f>
        <v>0.9529412623</v>
      </c>
      <c r="J398" s="23">
        <f t="shared" si="3"/>
        <v>1484167.846</v>
      </c>
      <c r="K398" s="23">
        <f t="shared" si="4"/>
        <v>3303001.341</v>
      </c>
      <c r="L398" s="29"/>
      <c r="M398" s="23"/>
    </row>
    <row r="399" ht="15.75" customHeight="1">
      <c r="A399" s="22">
        <v>398.0</v>
      </c>
      <c r="B399" s="22">
        <f t="shared" si="1"/>
        <v>34</v>
      </c>
      <c r="C399" s="23">
        <f>C398*(1+'Parâmetros'!$B$16)</f>
        <v>12618.13858</v>
      </c>
      <c r="D399" s="29">
        <f t="shared" si="6"/>
        <v>12618.13858</v>
      </c>
      <c r="E399" s="23">
        <f t="shared" si="5"/>
        <v>4787169.187</v>
      </c>
      <c r="F399" s="23">
        <f>E399*'Parâmetros'!$B$13</f>
        <v>38173.55936</v>
      </c>
      <c r="G399" s="23">
        <f t="shared" si="2"/>
        <v>4837960.885</v>
      </c>
      <c r="H399" s="23">
        <f>G399/(1+'Parâmetros'!$B$14)^A399</f>
        <v>959144.2634</v>
      </c>
      <c r="I399" s="25">
        <f>H399/'Parâmetros'!$B$7</f>
        <v>0.9591442634</v>
      </c>
      <c r="J399" s="23">
        <f t="shared" si="3"/>
        <v>1496785.985</v>
      </c>
      <c r="K399" s="23">
        <f t="shared" si="4"/>
        <v>3341174.901</v>
      </c>
      <c r="L399" s="29"/>
      <c r="M399" s="23"/>
    </row>
    <row r="400" ht="15.75" customHeight="1">
      <c r="A400" s="22">
        <v>399.0</v>
      </c>
      <c r="B400" s="22">
        <f t="shared" si="1"/>
        <v>34</v>
      </c>
      <c r="C400" s="23">
        <f>C399*(1+'Parâmetros'!$B$16)</f>
        <v>12721.16374</v>
      </c>
      <c r="D400" s="29">
        <f t="shared" si="6"/>
        <v>12721.16374</v>
      </c>
      <c r="E400" s="23">
        <f t="shared" si="5"/>
        <v>4837960.885</v>
      </c>
      <c r="F400" s="23">
        <f>E400*'Parâmetros'!$B$13</f>
        <v>38578.57949</v>
      </c>
      <c r="G400" s="23">
        <f t="shared" si="2"/>
        <v>4889260.629</v>
      </c>
      <c r="H400" s="23">
        <f>G400/(1+'Parâmetros'!$B$14)^A400</f>
        <v>965381.5499</v>
      </c>
      <c r="I400" s="25">
        <f>H400/'Parâmetros'!$B$7</f>
        <v>0.9653815499</v>
      </c>
      <c r="J400" s="23">
        <f t="shared" si="3"/>
        <v>1509507.148</v>
      </c>
      <c r="K400" s="23">
        <f t="shared" si="4"/>
        <v>3379753.48</v>
      </c>
      <c r="L400" s="29"/>
      <c r="M400" s="23"/>
    </row>
    <row r="401" ht="15.75" customHeight="1">
      <c r="A401" s="22">
        <v>400.0</v>
      </c>
      <c r="B401" s="22">
        <f t="shared" si="1"/>
        <v>34</v>
      </c>
      <c r="C401" s="23">
        <f>C400*(1+'Parâmetros'!$B$16)</f>
        <v>12825.03008</v>
      </c>
      <c r="D401" s="29">
        <f t="shared" si="6"/>
        <v>12825.03008</v>
      </c>
      <c r="E401" s="23">
        <f t="shared" si="5"/>
        <v>4889260.629</v>
      </c>
      <c r="F401" s="23">
        <f>E401*'Parâmetros'!$B$13</f>
        <v>38987.65085</v>
      </c>
      <c r="G401" s="23">
        <f t="shared" si="2"/>
        <v>4941073.31</v>
      </c>
      <c r="H401" s="23">
        <f>G401/(1+'Parâmetros'!$B$14)^A401</f>
        <v>971653.2966</v>
      </c>
      <c r="I401" s="25">
        <f>H401/'Parâmetros'!$B$7</f>
        <v>0.9716532966</v>
      </c>
      <c r="J401" s="23">
        <f t="shared" si="3"/>
        <v>1522332.178</v>
      </c>
      <c r="K401" s="23">
        <f t="shared" si="4"/>
        <v>3418741.131</v>
      </c>
      <c r="L401" s="29"/>
      <c r="M401" s="23"/>
    </row>
    <row r="402" ht="15.75" customHeight="1">
      <c r="A402" s="22">
        <v>401.0</v>
      </c>
      <c r="B402" s="22">
        <f t="shared" si="1"/>
        <v>34</v>
      </c>
      <c r="C402" s="23">
        <f>C401*(1+'Parâmetros'!$B$16)</f>
        <v>12929.74448</v>
      </c>
      <c r="D402" s="29">
        <f t="shared" si="6"/>
        <v>12929.74448</v>
      </c>
      <c r="E402" s="23">
        <f t="shared" si="5"/>
        <v>4941073.31</v>
      </c>
      <c r="F402" s="23">
        <f>E402*'Parâmetros'!$B$13</f>
        <v>39400.81244</v>
      </c>
      <c r="G402" s="23">
        <f t="shared" si="2"/>
        <v>4993403.866</v>
      </c>
      <c r="H402" s="23">
        <f>G402/(1+'Parâmetros'!$B$14)^A402</f>
        <v>977959.6789</v>
      </c>
      <c r="I402" s="25">
        <f>H402/'Parâmetros'!$B$7</f>
        <v>0.9779596789</v>
      </c>
      <c r="J402" s="23">
        <f t="shared" si="3"/>
        <v>1535261.923</v>
      </c>
      <c r="K402" s="23">
        <f t="shared" si="4"/>
        <v>3458141.944</v>
      </c>
      <c r="L402" s="29"/>
      <c r="M402" s="23"/>
    </row>
    <row r="403" ht="15.75" customHeight="1">
      <c r="A403" s="22">
        <v>402.0</v>
      </c>
      <c r="B403" s="22">
        <f t="shared" si="1"/>
        <v>34</v>
      </c>
      <c r="C403" s="23">
        <f>C402*(1+'Parâmetros'!$B$16)</f>
        <v>13035.31385</v>
      </c>
      <c r="D403" s="29">
        <f t="shared" si="6"/>
        <v>13035.31385</v>
      </c>
      <c r="E403" s="23">
        <f t="shared" si="5"/>
        <v>4993403.866</v>
      </c>
      <c r="F403" s="23">
        <f>E403*'Parâmetros'!$B$13</f>
        <v>39818.10365</v>
      </c>
      <c r="G403" s="23">
        <f t="shared" si="2"/>
        <v>5046257.284</v>
      </c>
      <c r="H403" s="23">
        <f>G403/(1+'Parâmetros'!$B$14)^A403</f>
        <v>984300.8734</v>
      </c>
      <c r="I403" s="25">
        <f>H403/'Parâmetros'!$B$7</f>
        <v>0.9843008734</v>
      </c>
      <c r="J403" s="23">
        <f t="shared" si="3"/>
        <v>1548297.237</v>
      </c>
      <c r="K403" s="23">
        <f t="shared" si="4"/>
        <v>3497960.047</v>
      </c>
      <c r="L403" s="29"/>
      <c r="M403" s="23"/>
    </row>
    <row r="404" ht="15.75" customHeight="1">
      <c r="A404" s="22">
        <v>403.0</v>
      </c>
      <c r="B404" s="22">
        <f t="shared" si="1"/>
        <v>34</v>
      </c>
      <c r="C404" s="23">
        <f>C403*(1+'Parâmetros'!$B$16)</f>
        <v>13141.74518</v>
      </c>
      <c r="D404" s="29">
        <f t="shared" si="6"/>
        <v>13141.74518</v>
      </c>
      <c r="E404" s="23">
        <f t="shared" si="5"/>
        <v>5046257.284</v>
      </c>
      <c r="F404" s="23">
        <f>E404*'Parâmetros'!$B$13</f>
        <v>40239.56422</v>
      </c>
      <c r="G404" s="23">
        <f t="shared" si="2"/>
        <v>5099638.593</v>
      </c>
      <c r="H404" s="23">
        <f>G404/(1+'Parâmetros'!$B$14)^A404</f>
        <v>990677.0571</v>
      </c>
      <c r="I404" s="25">
        <f>H404/'Parâmetros'!$B$7</f>
        <v>0.9906770571</v>
      </c>
      <c r="J404" s="23">
        <f t="shared" si="3"/>
        <v>1561438.982</v>
      </c>
      <c r="K404" s="23">
        <f t="shared" si="4"/>
        <v>3538199.611</v>
      </c>
      <c r="L404" s="29"/>
      <c r="M404" s="23"/>
    </row>
    <row r="405" ht="15.75" customHeight="1">
      <c r="A405" s="22">
        <v>404.0</v>
      </c>
      <c r="B405" s="22">
        <f t="shared" si="1"/>
        <v>34</v>
      </c>
      <c r="C405" s="23">
        <f>C404*(1+'Parâmetros'!$B$16)</f>
        <v>13249.04551</v>
      </c>
      <c r="D405" s="29">
        <f t="shared" si="6"/>
        <v>13249.04551</v>
      </c>
      <c r="E405" s="23">
        <f t="shared" si="5"/>
        <v>5099638.593</v>
      </c>
      <c r="F405" s="23">
        <f>E405*'Parâmetros'!$B$13</f>
        <v>40665.23428</v>
      </c>
      <c r="G405" s="23">
        <f t="shared" si="2"/>
        <v>5153552.873</v>
      </c>
      <c r="H405" s="23">
        <f>G405/(1+'Parâmetros'!$B$14)^A405</f>
        <v>997088.4083</v>
      </c>
      <c r="I405" s="25">
        <f>H405/'Parâmetros'!$B$7</f>
        <v>0.9970884083</v>
      </c>
      <c r="J405" s="23">
        <f t="shared" si="3"/>
        <v>1574688.027</v>
      </c>
      <c r="K405" s="23">
        <f t="shared" si="4"/>
        <v>3578864.846</v>
      </c>
      <c r="L405" s="29"/>
      <c r="M405" s="23"/>
    </row>
    <row r="406" ht="15.75" customHeight="1">
      <c r="A406" s="30">
        <v>405.0</v>
      </c>
      <c r="B406" s="30">
        <f t="shared" si="1"/>
        <v>34</v>
      </c>
      <c r="C406" s="31">
        <f>C405*(1+'Parâmetros'!$B$16)</f>
        <v>13357.22193</v>
      </c>
      <c r="D406" s="32">
        <f t="shared" si="6"/>
        <v>13357.22193</v>
      </c>
      <c r="E406" s="31">
        <f t="shared" si="5"/>
        <v>5153552.873</v>
      </c>
      <c r="F406" s="31">
        <f>E406*'Parâmetros'!$B$13</f>
        <v>41095.15432</v>
      </c>
      <c r="G406" s="31">
        <f t="shared" si="2"/>
        <v>5208005.249</v>
      </c>
      <c r="H406" s="31">
        <f>G406/(1+'Parâmetros'!$B$14)^A406</f>
        <v>1003535.106</v>
      </c>
      <c r="I406" s="33">
        <f>H406/'Parâmetros'!$B$7</f>
        <v>1.003535106</v>
      </c>
      <c r="J406" s="31">
        <f t="shared" si="3"/>
        <v>1588045.249</v>
      </c>
      <c r="K406" s="31">
        <f t="shared" si="4"/>
        <v>3619960</v>
      </c>
      <c r="L406" s="29"/>
      <c r="M406" s="23"/>
    </row>
    <row r="407" ht="15.75" customHeight="1">
      <c r="A407" s="22">
        <v>406.0</v>
      </c>
      <c r="B407" s="22">
        <f t="shared" si="1"/>
        <v>34</v>
      </c>
      <c r="C407" s="23">
        <f>C406*(1+'Parâmetros'!$B$16)</f>
        <v>13466.28159</v>
      </c>
      <c r="D407" s="29">
        <f t="shared" si="6"/>
        <v>13466.28159</v>
      </c>
      <c r="E407" s="23">
        <f t="shared" si="5"/>
        <v>5208005.249</v>
      </c>
      <c r="F407" s="23">
        <f>E407*'Parâmetros'!$B$13</f>
        <v>41529.36521</v>
      </c>
      <c r="G407" s="23">
        <f t="shared" si="2"/>
        <v>5263000.896</v>
      </c>
      <c r="H407" s="23">
        <f>G407/(1+'Parâmetros'!$B$14)^A407</f>
        <v>1010017.33</v>
      </c>
      <c r="I407" s="25">
        <f>H407/'Parâmetros'!$B$7</f>
        <v>1.01001733</v>
      </c>
      <c r="J407" s="23">
        <f t="shared" si="3"/>
        <v>1601511.531</v>
      </c>
      <c r="K407" s="23">
        <f t="shared" si="4"/>
        <v>3661489.365</v>
      </c>
      <c r="L407" s="29"/>
      <c r="M407" s="23"/>
    </row>
    <row r="408" ht="15.75" customHeight="1">
      <c r="A408" s="22">
        <v>407.0</v>
      </c>
      <c r="B408" s="22">
        <f t="shared" si="1"/>
        <v>34</v>
      </c>
      <c r="C408" s="23">
        <f>C407*(1+'Parâmetros'!$B$16)</f>
        <v>13576.2317</v>
      </c>
      <c r="D408" s="29">
        <f t="shared" si="6"/>
        <v>13576.2317</v>
      </c>
      <c r="E408" s="23">
        <f t="shared" si="5"/>
        <v>5263000.896</v>
      </c>
      <c r="F408" s="23">
        <f>E408*'Parâmetros'!$B$13</f>
        <v>41967.90822</v>
      </c>
      <c r="G408" s="23">
        <f t="shared" si="2"/>
        <v>5318545.036</v>
      </c>
      <c r="H408" s="23">
        <f>G408/(1+'Parâmetros'!$B$14)^A408</f>
        <v>1016535.261</v>
      </c>
      <c r="I408" s="25">
        <f>H408/'Parâmetros'!$B$7</f>
        <v>1.016535261</v>
      </c>
      <c r="J408" s="23">
        <f t="shared" si="3"/>
        <v>1615087.763</v>
      </c>
      <c r="K408" s="23">
        <f t="shared" si="4"/>
        <v>3703457.274</v>
      </c>
      <c r="L408" s="29"/>
      <c r="M408" s="23"/>
    </row>
    <row r="409" ht="15.75" customHeight="1">
      <c r="A409" s="22">
        <v>408.0</v>
      </c>
      <c r="B409" s="22">
        <f t="shared" si="1"/>
        <v>34</v>
      </c>
      <c r="C409" s="23">
        <f>C408*(1+'Parâmetros'!$B$16)</f>
        <v>13687.07955</v>
      </c>
      <c r="D409" s="29">
        <f t="shared" si="6"/>
        <v>13687.07955</v>
      </c>
      <c r="E409" s="23">
        <f t="shared" si="5"/>
        <v>5318545.036</v>
      </c>
      <c r="F409" s="23">
        <f>E409*'Parâmetros'!$B$13</f>
        <v>42410.825</v>
      </c>
      <c r="G409" s="23">
        <f t="shared" si="2"/>
        <v>5374642.941</v>
      </c>
      <c r="H409" s="23">
        <f>G409/(1+'Parâmetros'!$B$14)^A409</f>
        <v>1023089.08</v>
      </c>
      <c r="I409" s="25">
        <f>H409/'Parâmetros'!$B$7</f>
        <v>1.02308908</v>
      </c>
      <c r="J409" s="23">
        <f t="shared" si="3"/>
        <v>1628774.842</v>
      </c>
      <c r="K409" s="23">
        <f t="shared" si="4"/>
        <v>3745868.099</v>
      </c>
      <c r="L409" s="29"/>
      <c r="M409" s="23"/>
    </row>
    <row r="410" ht="15.75" customHeight="1">
      <c r="A410" s="22">
        <v>409.0</v>
      </c>
      <c r="B410" s="22">
        <f t="shared" si="1"/>
        <v>35</v>
      </c>
      <c r="C410" s="23">
        <f>C409*(1+'Parâmetros'!$B$16)</f>
        <v>13798.83244</v>
      </c>
      <c r="D410" s="29">
        <f t="shared" si="6"/>
        <v>13798.83244</v>
      </c>
      <c r="E410" s="23">
        <f t="shared" si="5"/>
        <v>5374642.941</v>
      </c>
      <c r="F410" s="23">
        <f>E410*'Parâmetros'!$B$13</f>
        <v>42858.15756</v>
      </c>
      <c r="G410" s="23">
        <f t="shared" si="2"/>
        <v>5431299.931</v>
      </c>
      <c r="H410" s="23">
        <f>G410/(1+'Parâmetros'!$B$14)^A410</f>
        <v>1029678.97</v>
      </c>
      <c r="I410" s="25">
        <f>H410/'Parâmetros'!$B$7</f>
        <v>1.02967897</v>
      </c>
      <c r="J410" s="23">
        <f t="shared" si="3"/>
        <v>1642573.675</v>
      </c>
      <c r="K410" s="23">
        <f t="shared" si="4"/>
        <v>3788726.256</v>
      </c>
      <c r="L410" s="29"/>
      <c r="M410" s="23"/>
    </row>
    <row r="411" ht="15.75" customHeight="1">
      <c r="A411" s="22">
        <v>410.0</v>
      </c>
      <c r="B411" s="22">
        <f t="shared" si="1"/>
        <v>35</v>
      </c>
      <c r="C411" s="23">
        <f>C410*(1+'Parâmetros'!$B$16)</f>
        <v>13911.49778</v>
      </c>
      <c r="D411" s="29">
        <f t="shared" si="6"/>
        <v>13911.49778</v>
      </c>
      <c r="E411" s="23">
        <f t="shared" si="5"/>
        <v>5431299.931</v>
      </c>
      <c r="F411" s="23">
        <f>E411*'Parâmetros'!$B$13</f>
        <v>43309.94836</v>
      </c>
      <c r="G411" s="23">
        <f t="shared" si="2"/>
        <v>5488521.377</v>
      </c>
      <c r="H411" s="23">
        <f>G411/(1+'Parâmetros'!$B$14)^A411</f>
        <v>1036305.115</v>
      </c>
      <c r="I411" s="25">
        <f>H411/'Parâmetros'!$B$7</f>
        <v>1.036305115</v>
      </c>
      <c r="J411" s="23">
        <f t="shared" si="3"/>
        <v>1656485.172</v>
      </c>
      <c r="K411" s="23">
        <f t="shared" si="4"/>
        <v>3832036.204</v>
      </c>
      <c r="L411" s="29"/>
      <c r="M411" s="23"/>
    </row>
    <row r="412" ht="15.75" customHeight="1">
      <c r="A412" s="22">
        <v>411.0</v>
      </c>
      <c r="B412" s="22">
        <f t="shared" si="1"/>
        <v>35</v>
      </c>
      <c r="C412" s="23">
        <f>C411*(1+'Parâmetros'!$B$16)</f>
        <v>14025.08302</v>
      </c>
      <c r="D412" s="29">
        <f t="shared" si="6"/>
        <v>14025.08302</v>
      </c>
      <c r="E412" s="23">
        <f t="shared" si="5"/>
        <v>5488521.377</v>
      </c>
      <c r="F412" s="23">
        <f>E412*'Parâmetros'!$B$13</f>
        <v>43766.24021</v>
      </c>
      <c r="G412" s="23">
        <f t="shared" si="2"/>
        <v>5546312.7</v>
      </c>
      <c r="H412" s="23">
        <f>G412/(1+'Parâmetros'!$B$14)^A412</f>
        <v>1042967.699</v>
      </c>
      <c r="I412" s="25">
        <f>H412/'Parâmetros'!$B$7</f>
        <v>1.042967699</v>
      </c>
      <c r="J412" s="23">
        <f t="shared" si="3"/>
        <v>1670510.255</v>
      </c>
      <c r="K412" s="23">
        <f t="shared" si="4"/>
        <v>3875802.445</v>
      </c>
      <c r="L412" s="29"/>
      <c r="M412" s="23"/>
    </row>
    <row r="413" ht="15.75" customHeight="1">
      <c r="A413" s="22">
        <v>412.0</v>
      </c>
      <c r="B413" s="22">
        <f t="shared" si="1"/>
        <v>35</v>
      </c>
      <c r="C413" s="23">
        <f>C412*(1+'Parâmetros'!$B$16)</f>
        <v>14139.59567</v>
      </c>
      <c r="D413" s="29">
        <f t="shared" si="6"/>
        <v>14139.59567</v>
      </c>
      <c r="E413" s="23">
        <f t="shared" si="5"/>
        <v>5546312.7</v>
      </c>
      <c r="F413" s="23">
        <f>E413*'Parâmetros'!$B$13</f>
        <v>44227.07633</v>
      </c>
      <c r="G413" s="23">
        <f t="shared" si="2"/>
        <v>5604679.372</v>
      </c>
      <c r="H413" s="23">
        <f>G413/(1+'Parâmetros'!$B$14)^A413</f>
        <v>1049666.906</v>
      </c>
      <c r="I413" s="25">
        <f>H413/'Parâmetros'!$B$7</f>
        <v>1.049666906</v>
      </c>
      <c r="J413" s="23">
        <f t="shared" si="3"/>
        <v>1684649.851</v>
      </c>
      <c r="K413" s="23">
        <f t="shared" si="4"/>
        <v>3920029.521</v>
      </c>
      <c r="L413" s="29"/>
      <c r="M413" s="23"/>
    </row>
    <row r="414" ht="15.75" customHeight="1">
      <c r="A414" s="22">
        <v>413.0</v>
      </c>
      <c r="B414" s="22">
        <f t="shared" si="1"/>
        <v>35</v>
      </c>
      <c r="C414" s="23">
        <f>C413*(1+'Parâmetros'!$B$16)</f>
        <v>14255.04329</v>
      </c>
      <c r="D414" s="29">
        <f t="shared" si="6"/>
        <v>14255.04329</v>
      </c>
      <c r="E414" s="23">
        <f t="shared" si="5"/>
        <v>5604679.372</v>
      </c>
      <c r="F414" s="23">
        <f>E414*'Parâmetros'!$B$13</f>
        <v>44692.50037</v>
      </c>
      <c r="G414" s="23">
        <f t="shared" si="2"/>
        <v>5663626.916</v>
      </c>
      <c r="H414" s="23">
        <f>G414/(1+'Parâmetros'!$B$14)^A414</f>
        <v>1056402.923</v>
      </c>
      <c r="I414" s="25">
        <f>H414/'Parâmetros'!$B$7</f>
        <v>1.056402923</v>
      </c>
      <c r="J414" s="23">
        <f t="shared" si="3"/>
        <v>1698904.894</v>
      </c>
      <c r="K414" s="23">
        <f t="shared" si="4"/>
        <v>3964722.021</v>
      </c>
      <c r="L414" s="29"/>
      <c r="M414" s="23"/>
    </row>
    <row r="415" ht="15.75" customHeight="1">
      <c r="A415" s="22">
        <v>414.0</v>
      </c>
      <c r="B415" s="22">
        <f t="shared" si="1"/>
        <v>35</v>
      </c>
      <c r="C415" s="23">
        <f>C414*(1+'Parâmetros'!$B$16)</f>
        <v>14371.43352</v>
      </c>
      <c r="D415" s="29">
        <f t="shared" si="6"/>
        <v>14371.43352</v>
      </c>
      <c r="E415" s="23">
        <f t="shared" si="5"/>
        <v>5663626.916</v>
      </c>
      <c r="F415" s="23">
        <f>E415*'Parâmetros'!$B$13</f>
        <v>45162.55636</v>
      </c>
      <c r="G415" s="23">
        <f t="shared" si="2"/>
        <v>5723160.906</v>
      </c>
      <c r="H415" s="23">
        <f>G415/(1+'Parâmetros'!$B$14)^A415</f>
        <v>1063175.936</v>
      </c>
      <c r="I415" s="25">
        <f>H415/'Parâmetros'!$B$7</f>
        <v>1.063175936</v>
      </c>
      <c r="J415" s="23">
        <f t="shared" si="3"/>
        <v>1713276.328</v>
      </c>
      <c r="K415" s="23">
        <f t="shared" si="4"/>
        <v>4009884.578</v>
      </c>
      <c r="L415" s="29"/>
      <c r="M415" s="23"/>
    </row>
    <row r="416" ht="15.75" customHeight="1">
      <c r="A416" s="22">
        <v>415.0</v>
      </c>
      <c r="B416" s="22">
        <f t="shared" si="1"/>
        <v>35</v>
      </c>
      <c r="C416" s="23">
        <f>C415*(1+'Parâmetros'!$B$16)</f>
        <v>14488.77406</v>
      </c>
      <c r="D416" s="29">
        <f t="shared" si="6"/>
        <v>14488.77406</v>
      </c>
      <c r="E416" s="23">
        <f t="shared" si="5"/>
        <v>5723160.906</v>
      </c>
      <c r="F416" s="23">
        <f>E416*'Parâmetros'!$B$13</f>
        <v>45637.28876</v>
      </c>
      <c r="G416" s="23">
        <f t="shared" si="2"/>
        <v>5783286.968</v>
      </c>
      <c r="H416" s="23">
        <f>G416/(1+'Parâmetros'!$B$14)^A416</f>
        <v>1069986.134</v>
      </c>
      <c r="I416" s="25">
        <f>H416/'Parâmetros'!$B$7</f>
        <v>1.069986134</v>
      </c>
      <c r="J416" s="23">
        <f t="shared" si="3"/>
        <v>1727765.102</v>
      </c>
      <c r="K416" s="23">
        <f t="shared" si="4"/>
        <v>4055521.866</v>
      </c>
      <c r="L416" s="29"/>
      <c r="M416" s="23"/>
    </row>
    <row r="417" ht="15.75" customHeight="1">
      <c r="A417" s="22">
        <v>416.0</v>
      </c>
      <c r="B417" s="22">
        <f t="shared" si="1"/>
        <v>35</v>
      </c>
      <c r="C417" s="23">
        <f>C416*(1+'Parâmetros'!$B$16)</f>
        <v>14607.07267</v>
      </c>
      <c r="D417" s="29">
        <f t="shared" si="6"/>
        <v>14607.07267</v>
      </c>
      <c r="E417" s="23">
        <f t="shared" si="5"/>
        <v>5783286.968</v>
      </c>
      <c r="F417" s="23">
        <f>E417*'Parâmetros'!$B$13</f>
        <v>46116.74243</v>
      </c>
      <c r="G417" s="23">
        <f t="shared" si="2"/>
        <v>5844010.784</v>
      </c>
      <c r="H417" s="23">
        <f>G417/(1+'Parâmetros'!$B$14)^A417</f>
        <v>1076833.706</v>
      </c>
      <c r="I417" s="25">
        <f>H417/'Parâmetros'!$B$7</f>
        <v>1.076833706</v>
      </c>
      <c r="J417" s="23">
        <f t="shared" si="3"/>
        <v>1742372.175</v>
      </c>
      <c r="K417" s="23">
        <f t="shared" si="4"/>
        <v>4101638.609</v>
      </c>
      <c r="L417" s="29"/>
      <c r="M417" s="23"/>
    </row>
    <row r="418" ht="15.75" customHeight="1">
      <c r="A418" s="22">
        <v>417.0</v>
      </c>
      <c r="B418" s="22">
        <f t="shared" si="1"/>
        <v>35</v>
      </c>
      <c r="C418" s="23">
        <f>C417*(1+'Parâmetros'!$B$16)</f>
        <v>14726.33717</v>
      </c>
      <c r="D418" s="29">
        <f t="shared" si="6"/>
        <v>14726.33717</v>
      </c>
      <c r="E418" s="23">
        <f t="shared" si="5"/>
        <v>5844010.784</v>
      </c>
      <c r="F418" s="23">
        <f>E418*'Parâmetros'!$B$13</f>
        <v>46600.96266</v>
      </c>
      <c r="G418" s="23">
        <f t="shared" si="2"/>
        <v>5905338.083</v>
      </c>
      <c r="H418" s="23">
        <f>G418/(1+'Parâmetros'!$B$14)^A418</f>
        <v>1083718.84</v>
      </c>
      <c r="I418" s="25">
        <f>H418/'Parâmetros'!$B$7</f>
        <v>1.08371884</v>
      </c>
      <c r="J418" s="23">
        <f t="shared" si="3"/>
        <v>1757098.512</v>
      </c>
      <c r="K418" s="23">
        <f t="shared" si="4"/>
        <v>4148239.572</v>
      </c>
      <c r="L418" s="29"/>
      <c r="M418" s="23"/>
    </row>
    <row r="419" ht="15.75" customHeight="1">
      <c r="A419" s="22">
        <v>418.0</v>
      </c>
      <c r="B419" s="22">
        <f t="shared" si="1"/>
        <v>35</v>
      </c>
      <c r="C419" s="23">
        <f>C418*(1+'Parâmetros'!$B$16)</f>
        <v>14846.57545</v>
      </c>
      <c r="D419" s="29">
        <f t="shared" si="6"/>
        <v>14846.57545</v>
      </c>
      <c r="E419" s="23">
        <f t="shared" si="5"/>
        <v>5905338.083</v>
      </c>
      <c r="F419" s="23">
        <f>E419*'Parâmetros'!$B$13</f>
        <v>47089.99516</v>
      </c>
      <c r="G419" s="23">
        <f t="shared" si="2"/>
        <v>5967274.654</v>
      </c>
      <c r="H419" s="23">
        <f>G419/(1+'Parâmetros'!$B$14)^A419</f>
        <v>1090641.728</v>
      </c>
      <c r="I419" s="25">
        <f>H419/'Parâmetros'!$B$7</f>
        <v>1.090641728</v>
      </c>
      <c r="J419" s="23">
        <f t="shared" si="3"/>
        <v>1771945.087</v>
      </c>
      <c r="K419" s="23">
        <f t="shared" si="4"/>
        <v>4195329.567</v>
      </c>
      <c r="L419" s="29"/>
      <c r="M419" s="23"/>
    </row>
    <row r="420" ht="15.75" customHeight="1">
      <c r="A420" s="22">
        <v>419.0</v>
      </c>
      <c r="B420" s="22">
        <f t="shared" si="1"/>
        <v>35</v>
      </c>
      <c r="C420" s="23">
        <f>C419*(1+'Parâmetros'!$B$16)</f>
        <v>14967.79545</v>
      </c>
      <c r="D420" s="29">
        <f t="shared" si="6"/>
        <v>14967.79545</v>
      </c>
      <c r="E420" s="23">
        <f t="shared" si="5"/>
        <v>5967274.654</v>
      </c>
      <c r="F420" s="23">
        <f>E420*'Parâmetros'!$B$13</f>
        <v>47583.88607</v>
      </c>
      <c r="G420" s="23">
        <f t="shared" si="2"/>
        <v>6029826.335</v>
      </c>
      <c r="H420" s="23">
        <f>G420/(1+'Parâmetros'!$B$14)^A420</f>
        <v>1097602.561</v>
      </c>
      <c r="I420" s="25">
        <f>H420/'Parâmetros'!$B$7</f>
        <v>1.097602561</v>
      </c>
      <c r="J420" s="23">
        <f t="shared" si="3"/>
        <v>1786912.883</v>
      </c>
      <c r="K420" s="23">
        <f t="shared" si="4"/>
        <v>4242913.453</v>
      </c>
      <c r="L420" s="29"/>
      <c r="M420" s="23"/>
    </row>
    <row r="421" ht="15.75" customHeight="1">
      <c r="A421" s="22">
        <v>420.0</v>
      </c>
      <c r="B421" s="22">
        <f t="shared" si="1"/>
        <v>35</v>
      </c>
      <c r="C421" s="23">
        <f>C420*(1+'Parâmetros'!$B$16)</f>
        <v>15090.0052</v>
      </c>
      <c r="D421" s="29">
        <f t="shared" si="6"/>
        <v>15090.0052</v>
      </c>
      <c r="E421" s="23">
        <f t="shared" si="5"/>
        <v>6029826.335</v>
      </c>
      <c r="F421" s="23">
        <f>E421*'Parâmetros'!$B$13</f>
        <v>48082.68196</v>
      </c>
      <c r="G421" s="23">
        <f t="shared" si="2"/>
        <v>6092999.023</v>
      </c>
      <c r="H421" s="23">
        <f>G421/(1+'Parâmetros'!$B$14)^A421</f>
        <v>1104601.531</v>
      </c>
      <c r="I421" s="25">
        <f>H421/'Parâmetros'!$B$7</f>
        <v>1.104601531</v>
      </c>
      <c r="J421" s="23">
        <f t="shared" si="3"/>
        <v>1802002.888</v>
      </c>
      <c r="K421" s="23">
        <f t="shared" si="4"/>
        <v>4290996.135</v>
      </c>
      <c r="L421" s="29"/>
      <c r="M421" s="23"/>
    </row>
    <row r="422" ht="15.75" customHeight="1">
      <c r="A422" s="22">
        <v>421.0</v>
      </c>
      <c r="B422" s="22">
        <f t="shared" si="1"/>
        <v>36</v>
      </c>
      <c r="C422" s="23">
        <f>C421*(1+'Parâmetros'!$B$16)</f>
        <v>15213.21277</v>
      </c>
      <c r="D422" s="29">
        <f t="shared" si="6"/>
        <v>15213.21277</v>
      </c>
      <c r="E422" s="23">
        <f t="shared" si="5"/>
        <v>6092999.023</v>
      </c>
      <c r="F422" s="23">
        <f>E422*'Parâmetros'!$B$13</f>
        <v>48586.42984</v>
      </c>
      <c r="G422" s="23">
        <f t="shared" si="2"/>
        <v>6156798.665</v>
      </c>
      <c r="H422" s="23">
        <f>G422/(1+'Parâmetros'!$B$14)^A422</f>
        <v>1111638.833</v>
      </c>
      <c r="I422" s="25">
        <f>H422/'Parâmetros'!$B$7</f>
        <v>1.111638833</v>
      </c>
      <c r="J422" s="23">
        <f t="shared" si="3"/>
        <v>1817216.101</v>
      </c>
      <c r="K422" s="23">
        <f t="shared" si="4"/>
        <v>4339582.565</v>
      </c>
      <c r="L422" s="29"/>
      <c r="M422" s="23"/>
    </row>
    <row r="423" ht="15.75" customHeight="1">
      <c r="A423" s="22">
        <v>422.0</v>
      </c>
      <c r="B423" s="22">
        <f t="shared" si="1"/>
        <v>36</v>
      </c>
      <c r="C423" s="23">
        <f>C422*(1+'Parâmetros'!$B$16)</f>
        <v>15337.42631</v>
      </c>
      <c r="D423" s="29">
        <f t="shared" si="6"/>
        <v>15337.42631</v>
      </c>
      <c r="E423" s="23">
        <f t="shared" si="5"/>
        <v>6156798.665</v>
      </c>
      <c r="F423" s="23">
        <f>E423*'Parâmetros'!$B$13</f>
        <v>49095.17715</v>
      </c>
      <c r="G423" s="23">
        <f t="shared" si="2"/>
        <v>6221231.269</v>
      </c>
      <c r="H423" s="23">
        <f>G423/(1+'Parâmetros'!$B$14)^A423</f>
        <v>1118714.659</v>
      </c>
      <c r="I423" s="25">
        <f>H423/'Parâmetros'!$B$7</f>
        <v>1.118714659</v>
      </c>
      <c r="J423" s="23">
        <f t="shared" si="3"/>
        <v>1832553.527</v>
      </c>
      <c r="K423" s="23">
        <f t="shared" si="4"/>
        <v>4388677.742</v>
      </c>
      <c r="L423" s="29"/>
      <c r="M423" s="23"/>
    </row>
    <row r="424" ht="15.75" customHeight="1">
      <c r="A424" s="22">
        <v>423.0</v>
      </c>
      <c r="B424" s="22">
        <f t="shared" si="1"/>
        <v>36</v>
      </c>
      <c r="C424" s="23">
        <f>C423*(1+'Parâmetros'!$B$16)</f>
        <v>15462.65403</v>
      </c>
      <c r="D424" s="29">
        <f t="shared" si="6"/>
        <v>15462.65403</v>
      </c>
      <c r="E424" s="23">
        <f t="shared" si="5"/>
        <v>6221231.269</v>
      </c>
      <c r="F424" s="23">
        <f>E424*'Parâmetros'!$B$13</f>
        <v>49608.97178</v>
      </c>
      <c r="G424" s="23">
        <f t="shared" si="2"/>
        <v>6286302.895</v>
      </c>
      <c r="H424" s="23">
        <f>G424/(1+'Parâmetros'!$B$14)^A424</f>
        <v>1125829.206</v>
      </c>
      <c r="I424" s="25">
        <f>H424/'Parâmetros'!$B$7</f>
        <v>1.125829206</v>
      </c>
      <c r="J424" s="23">
        <f t="shared" si="3"/>
        <v>1848016.181</v>
      </c>
      <c r="K424" s="23">
        <f t="shared" si="4"/>
        <v>4438286.713</v>
      </c>
      <c r="L424" s="29"/>
      <c r="M424" s="23"/>
    </row>
    <row r="425" ht="15.75" customHeight="1">
      <c r="A425" s="22">
        <v>424.0</v>
      </c>
      <c r="B425" s="22">
        <f t="shared" si="1"/>
        <v>36</v>
      </c>
      <c r="C425" s="23">
        <f>C424*(1+'Parâmetros'!$B$16)</f>
        <v>15588.90422</v>
      </c>
      <c r="D425" s="29">
        <f t="shared" si="6"/>
        <v>15588.90422</v>
      </c>
      <c r="E425" s="23">
        <f t="shared" si="5"/>
        <v>6286302.895</v>
      </c>
      <c r="F425" s="23">
        <f>E425*'Parâmetros'!$B$13</f>
        <v>50127.86206</v>
      </c>
      <c r="G425" s="23">
        <f t="shared" si="2"/>
        <v>6352019.661</v>
      </c>
      <c r="H425" s="23">
        <f>G425/(1+'Parâmetros'!$B$14)^A425</f>
        <v>1132982.669</v>
      </c>
      <c r="I425" s="25">
        <f>H425/'Parâmetros'!$B$7</f>
        <v>1.132982669</v>
      </c>
      <c r="J425" s="23">
        <f t="shared" si="3"/>
        <v>1863605.085</v>
      </c>
      <c r="K425" s="23">
        <f t="shared" si="4"/>
        <v>4488414.576</v>
      </c>
      <c r="L425" s="29"/>
      <c r="M425" s="23"/>
    </row>
    <row r="426" ht="15.75" customHeight="1">
      <c r="A426" s="22">
        <v>425.0</v>
      </c>
      <c r="B426" s="22">
        <f t="shared" si="1"/>
        <v>36</v>
      </c>
      <c r="C426" s="23">
        <f>C425*(1+'Parâmetros'!$B$16)</f>
        <v>15716.18523</v>
      </c>
      <c r="D426" s="29">
        <f t="shared" si="6"/>
        <v>15716.18523</v>
      </c>
      <c r="E426" s="23">
        <f t="shared" si="5"/>
        <v>6352019.661</v>
      </c>
      <c r="F426" s="23">
        <f>E426*'Parâmetros'!$B$13</f>
        <v>50651.89678</v>
      </c>
      <c r="G426" s="23">
        <f t="shared" si="2"/>
        <v>6418387.743</v>
      </c>
      <c r="H426" s="23">
        <f>G426/(1+'Parâmetros'!$B$14)^A426</f>
        <v>1140175.246</v>
      </c>
      <c r="I426" s="25">
        <f>H426/'Parâmetros'!$B$7</f>
        <v>1.140175246</v>
      </c>
      <c r="J426" s="23">
        <f t="shared" si="3"/>
        <v>1879321.27</v>
      </c>
      <c r="K426" s="23">
        <f t="shared" si="4"/>
        <v>4539066.472</v>
      </c>
      <c r="L426" s="29"/>
      <c r="M426" s="23"/>
    </row>
    <row r="427" ht="15.75" customHeight="1">
      <c r="A427" s="22">
        <v>426.0</v>
      </c>
      <c r="B427" s="22">
        <f t="shared" si="1"/>
        <v>36</v>
      </c>
      <c r="C427" s="23">
        <f>C426*(1+'Parâmetros'!$B$16)</f>
        <v>15844.50546</v>
      </c>
      <c r="D427" s="29">
        <f t="shared" si="6"/>
        <v>15844.50546</v>
      </c>
      <c r="E427" s="23">
        <f t="shared" si="5"/>
        <v>6418387.743</v>
      </c>
      <c r="F427" s="23">
        <f>E427*'Parâmetros'!$B$13</f>
        <v>51181.12519</v>
      </c>
      <c r="G427" s="23">
        <f t="shared" si="2"/>
        <v>6485413.373</v>
      </c>
      <c r="H427" s="23">
        <f>G427/(1+'Parâmetros'!$B$14)^A427</f>
        <v>1147407.134</v>
      </c>
      <c r="I427" s="25">
        <f>H427/'Parâmetros'!$B$7</f>
        <v>1.147407134</v>
      </c>
      <c r="J427" s="23">
        <f t="shared" si="3"/>
        <v>1895165.776</v>
      </c>
      <c r="K427" s="23">
        <f t="shared" si="4"/>
        <v>4590247.598</v>
      </c>
      <c r="L427" s="29"/>
      <c r="M427" s="23"/>
    </row>
    <row r="428" ht="15.75" customHeight="1">
      <c r="A428" s="22">
        <v>427.0</v>
      </c>
      <c r="B428" s="22">
        <f t="shared" si="1"/>
        <v>36</v>
      </c>
      <c r="C428" s="23">
        <f>C427*(1+'Parâmetros'!$B$16)</f>
        <v>15973.87341</v>
      </c>
      <c r="D428" s="29">
        <f t="shared" si="6"/>
        <v>15973.87341</v>
      </c>
      <c r="E428" s="23">
        <f t="shared" si="5"/>
        <v>6485413.373</v>
      </c>
      <c r="F428" s="23">
        <f>E428*'Parâmetros'!$B$13</f>
        <v>51715.59698</v>
      </c>
      <c r="G428" s="23">
        <f t="shared" si="2"/>
        <v>6553102.844</v>
      </c>
      <c r="H428" s="23">
        <f>G428/(1+'Parâmetros'!$B$14)^A428</f>
        <v>1154678.533</v>
      </c>
      <c r="I428" s="25">
        <f>H428/'Parâmetros'!$B$7</f>
        <v>1.154678533</v>
      </c>
      <c r="J428" s="23">
        <f t="shared" si="3"/>
        <v>1911139.649</v>
      </c>
      <c r="K428" s="23">
        <f t="shared" si="4"/>
        <v>4641963.195</v>
      </c>
      <c r="L428" s="29"/>
      <c r="M428" s="23"/>
    </row>
    <row r="429" ht="15.75" customHeight="1">
      <c r="A429" s="22">
        <v>428.0</v>
      </c>
      <c r="B429" s="22">
        <f t="shared" si="1"/>
        <v>36</v>
      </c>
      <c r="C429" s="23">
        <f>C428*(1+'Parâmetros'!$B$16)</f>
        <v>16104.29762</v>
      </c>
      <c r="D429" s="29">
        <f t="shared" si="6"/>
        <v>16104.29762</v>
      </c>
      <c r="E429" s="23">
        <f t="shared" si="5"/>
        <v>6553102.844</v>
      </c>
      <c r="F429" s="23">
        <f>E429*'Parâmetros'!$B$13</f>
        <v>52255.36232</v>
      </c>
      <c r="G429" s="23">
        <f t="shared" si="2"/>
        <v>6621462.504</v>
      </c>
      <c r="H429" s="23">
        <f>G429/(1+'Parâmetros'!$B$14)^A429</f>
        <v>1161989.643</v>
      </c>
      <c r="I429" s="25">
        <f>H429/'Parâmetros'!$B$7</f>
        <v>1.161989643</v>
      </c>
      <c r="J429" s="23">
        <f t="shared" si="3"/>
        <v>1927243.947</v>
      </c>
      <c r="K429" s="23">
        <f t="shared" si="4"/>
        <v>4694218.557</v>
      </c>
      <c r="L429" s="29"/>
      <c r="M429" s="23"/>
    </row>
    <row r="430" ht="15.75" customHeight="1">
      <c r="A430" s="22">
        <v>429.0</v>
      </c>
      <c r="B430" s="22">
        <f t="shared" si="1"/>
        <v>36</v>
      </c>
      <c r="C430" s="23">
        <f>C429*(1+'Parâmetros'!$B$16)</f>
        <v>16235.78673</v>
      </c>
      <c r="D430" s="29">
        <f t="shared" si="6"/>
        <v>16235.78673</v>
      </c>
      <c r="E430" s="23">
        <f t="shared" si="5"/>
        <v>6621462.504</v>
      </c>
      <c r="F430" s="23">
        <f>E430*'Parâmetros'!$B$13</f>
        <v>52800.47185</v>
      </c>
      <c r="G430" s="23">
        <f t="shared" si="2"/>
        <v>6690498.762</v>
      </c>
      <c r="H430" s="23">
        <f>G430/(1+'Parâmetros'!$B$14)^A430</f>
        <v>1169340.665</v>
      </c>
      <c r="I430" s="25">
        <f>H430/'Parâmetros'!$B$7</f>
        <v>1.169340665</v>
      </c>
      <c r="J430" s="23">
        <f t="shared" si="3"/>
        <v>1943479.734</v>
      </c>
      <c r="K430" s="23">
        <f t="shared" si="4"/>
        <v>4747019.029</v>
      </c>
      <c r="L430" s="29"/>
      <c r="M430" s="23"/>
    </row>
    <row r="431" ht="15.75" customHeight="1">
      <c r="A431" s="22">
        <v>430.0</v>
      </c>
      <c r="B431" s="22">
        <f t="shared" si="1"/>
        <v>36</v>
      </c>
      <c r="C431" s="23">
        <f>C430*(1+'Parâmetros'!$B$16)</f>
        <v>16368.34943</v>
      </c>
      <c r="D431" s="29">
        <f t="shared" si="6"/>
        <v>16368.34943</v>
      </c>
      <c r="E431" s="23">
        <f t="shared" si="5"/>
        <v>6690498.762</v>
      </c>
      <c r="F431" s="23">
        <f>E431*'Parâmetros'!$B$13</f>
        <v>53350.97667</v>
      </c>
      <c r="G431" s="23">
        <f t="shared" si="2"/>
        <v>6760218.088</v>
      </c>
      <c r="H431" s="23">
        <f>G431/(1+'Parâmetros'!$B$14)^A431</f>
        <v>1176731.8</v>
      </c>
      <c r="I431" s="25">
        <f>H431/'Parâmetros'!$B$7</f>
        <v>1.1767318</v>
      </c>
      <c r="J431" s="23">
        <f t="shared" si="3"/>
        <v>1959848.083</v>
      </c>
      <c r="K431" s="23">
        <f t="shared" si="4"/>
        <v>4800370.005</v>
      </c>
      <c r="L431" s="29"/>
      <c r="M431" s="23"/>
    </row>
    <row r="432" ht="15.75" customHeight="1">
      <c r="A432" s="22">
        <v>431.0</v>
      </c>
      <c r="B432" s="22">
        <f t="shared" si="1"/>
        <v>36</v>
      </c>
      <c r="C432" s="23">
        <f>C431*(1+'Parâmetros'!$B$16)</f>
        <v>16501.99449</v>
      </c>
      <c r="D432" s="29">
        <f t="shared" si="6"/>
        <v>16501.99449</v>
      </c>
      <c r="E432" s="23">
        <f t="shared" si="5"/>
        <v>6760218.088</v>
      </c>
      <c r="F432" s="23">
        <f>E432*'Parâmetros'!$B$13</f>
        <v>53906.92837</v>
      </c>
      <c r="G432" s="23">
        <f t="shared" si="2"/>
        <v>6830627.011</v>
      </c>
      <c r="H432" s="23">
        <f>G432/(1+'Parâmetros'!$B$14)^A432</f>
        <v>1184163.252</v>
      </c>
      <c r="I432" s="25">
        <f>H432/'Parâmetros'!$B$7</f>
        <v>1.184163252</v>
      </c>
      <c r="J432" s="23">
        <f t="shared" si="3"/>
        <v>1976350.078</v>
      </c>
      <c r="K432" s="23">
        <f t="shared" si="4"/>
        <v>4854276.934</v>
      </c>
      <c r="L432" s="29"/>
      <c r="M432" s="23"/>
    </row>
    <row r="433" ht="15.75" customHeight="1">
      <c r="A433" s="22">
        <v>432.0</v>
      </c>
      <c r="B433" s="22">
        <f t="shared" si="1"/>
        <v>36</v>
      </c>
      <c r="C433" s="23">
        <f>C432*(1+'Parâmetros'!$B$16)</f>
        <v>16636.73073</v>
      </c>
      <c r="D433" s="29">
        <f t="shared" si="6"/>
        <v>16636.73073</v>
      </c>
      <c r="E433" s="23">
        <f t="shared" si="5"/>
        <v>6830627.011</v>
      </c>
      <c r="F433" s="23">
        <f>E433*'Parâmetros'!$B$13</f>
        <v>54468.37901</v>
      </c>
      <c r="G433" s="23">
        <f t="shared" si="2"/>
        <v>6901732.121</v>
      </c>
      <c r="H433" s="23">
        <f>G433/(1+'Parâmetros'!$B$14)^A433</f>
        <v>1191635.224</v>
      </c>
      <c r="I433" s="25">
        <f>H433/'Parâmetros'!$B$7</f>
        <v>1.191635224</v>
      </c>
      <c r="J433" s="23">
        <f t="shared" si="3"/>
        <v>1992986.808</v>
      </c>
      <c r="K433" s="23">
        <f t="shared" si="4"/>
        <v>4908745.313</v>
      </c>
      <c r="L433" s="29"/>
      <c r="M433" s="23"/>
    </row>
    <row r="434" ht="15.75" customHeight="1">
      <c r="A434" s="22">
        <v>433.0</v>
      </c>
      <c r="B434" s="22">
        <f t="shared" si="1"/>
        <v>37</v>
      </c>
      <c r="C434" s="23">
        <f>C433*(1+'Parâmetros'!$B$16)</f>
        <v>16772.56708</v>
      </c>
      <c r="D434" s="29">
        <f t="shared" si="6"/>
        <v>16772.56708</v>
      </c>
      <c r="E434" s="23">
        <f t="shared" si="5"/>
        <v>6901732.121</v>
      </c>
      <c r="F434" s="23">
        <f>E434*'Parâmetros'!$B$13</f>
        <v>55035.38114</v>
      </c>
      <c r="G434" s="23">
        <f t="shared" si="2"/>
        <v>6973540.069</v>
      </c>
      <c r="H434" s="23">
        <f>G434/(1+'Parâmetros'!$B$14)^A434</f>
        <v>1199147.922</v>
      </c>
      <c r="I434" s="25">
        <f>H434/'Parâmetros'!$B$7</f>
        <v>1.199147922</v>
      </c>
      <c r="J434" s="23">
        <f t="shared" si="3"/>
        <v>2009759.375</v>
      </c>
      <c r="K434" s="23">
        <f t="shared" si="4"/>
        <v>4963780.694</v>
      </c>
      <c r="L434" s="29"/>
      <c r="M434" s="23"/>
    </row>
    <row r="435" ht="15.75" customHeight="1">
      <c r="A435" s="22">
        <v>434.0</v>
      </c>
      <c r="B435" s="22">
        <f t="shared" si="1"/>
        <v>37</v>
      </c>
      <c r="C435" s="23">
        <f>C434*(1+'Parâmetros'!$B$16)</f>
        <v>16909.5125</v>
      </c>
      <c r="D435" s="29">
        <f t="shared" si="6"/>
        <v>16909.5125</v>
      </c>
      <c r="E435" s="23">
        <f t="shared" si="5"/>
        <v>6973540.069</v>
      </c>
      <c r="F435" s="23">
        <f>E435*'Parâmetros'!$B$13</f>
        <v>55607.9878</v>
      </c>
      <c r="G435" s="23">
        <f t="shared" si="2"/>
        <v>7046057.57</v>
      </c>
      <c r="H435" s="23">
        <f>G435/(1+'Parâmetros'!$B$14)^A435</f>
        <v>1206701.551</v>
      </c>
      <c r="I435" s="25">
        <f>H435/'Parâmetros'!$B$7</f>
        <v>1.206701551</v>
      </c>
      <c r="J435" s="23">
        <f t="shared" si="3"/>
        <v>2026668.888</v>
      </c>
      <c r="K435" s="23">
        <f t="shared" si="4"/>
        <v>5019388.682</v>
      </c>
      <c r="L435" s="29"/>
      <c r="M435" s="23"/>
    </row>
    <row r="436" ht="15.75" customHeight="1">
      <c r="A436" s="22">
        <v>435.0</v>
      </c>
      <c r="B436" s="22">
        <f t="shared" si="1"/>
        <v>37</v>
      </c>
      <c r="C436" s="23">
        <f>C435*(1+'Parâmetros'!$B$16)</f>
        <v>17047.57607</v>
      </c>
      <c r="D436" s="29">
        <f t="shared" si="6"/>
        <v>17047.57607</v>
      </c>
      <c r="E436" s="23">
        <f t="shared" si="5"/>
        <v>7046057.57</v>
      </c>
      <c r="F436" s="23">
        <f>E436*'Parâmetros'!$B$13</f>
        <v>56186.25253</v>
      </c>
      <c r="G436" s="23">
        <f t="shared" si="2"/>
        <v>7119291.398</v>
      </c>
      <c r="H436" s="23">
        <f>G436/(1+'Parâmetros'!$B$14)^A436</f>
        <v>1214296.318</v>
      </c>
      <c r="I436" s="25">
        <f>H436/'Parâmetros'!$B$7</f>
        <v>1.214296318</v>
      </c>
      <c r="J436" s="23">
        <f t="shared" si="3"/>
        <v>2043716.464</v>
      </c>
      <c r="K436" s="23">
        <f t="shared" si="4"/>
        <v>5075574.934</v>
      </c>
      <c r="L436" s="29"/>
      <c r="M436" s="23"/>
    </row>
    <row r="437" ht="15.75" customHeight="1">
      <c r="A437" s="22">
        <v>436.0</v>
      </c>
      <c r="B437" s="22">
        <f t="shared" si="1"/>
        <v>37</v>
      </c>
      <c r="C437" s="23">
        <f>C436*(1+'Parâmetros'!$B$16)</f>
        <v>17186.76691</v>
      </c>
      <c r="D437" s="29">
        <f t="shared" si="6"/>
        <v>17186.76691</v>
      </c>
      <c r="E437" s="23">
        <f t="shared" si="5"/>
        <v>7119291.398</v>
      </c>
      <c r="F437" s="23">
        <f>E437*'Parâmetros'!$B$13</f>
        <v>56770.22936</v>
      </c>
      <c r="G437" s="23">
        <f t="shared" si="2"/>
        <v>7193248.394</v>
      </c>
      <c r="H437" s="23">
        <f>G437/(1+'Parâmetros'!$B$14)^A437</f>
        <v>1221932.43</v>
      </c>
      <c r="I437" s="25">
        <f>H437/'Parâmetros'!$B$7</f>
        <v>1.22193243</v>
      </c>
      <c r="J437" s="23">
        <f t="shared" si="3"/>
        <v>2060903.231</v>
      </c>
      <c r="K437" s="23">
        <f t="shared" si="4"/>
        <v>5132345.164</v>
      </c>
      <c r="L437" s="29"/>
      <c r="M437" s="23"/>
    </row>
    <row r="438" ht="15.75" customHeight="1">
      <c r="A438" s="22">
        <v>437.0</v>
      </c>
      <c r="B438" s="22">
        <f t="shared" si="1"/>
        <v>37</v>
      </c>
      <c r="C438" s="23">
        <f>C437*(1+'Parâmetros'!$B$16)</f>
        <v>17327.09421</v>
      </c>
      <c r="D438" s="29">
        <f t="shared" si="6"/>
        <v>17327.09421</v>
      </c>
      <c r="E438" s="23">
        <f t="shared" si="5"/>
        <v>7193248.394</v>
      </c>
      <c r="F438" s="23">
        <f>E438*'Parâmetros'!$B$13</f>
        <v>57359.97284</v>
      </c>
      <c r="G438" s="23">
        <f t="shared" si="2"/>
        <v>7267935.462</v>
      </c>
      <c r="H438" s="23">
        <f>G438/(1+'Parâmetros'!$B$14)^A438</f>
        <v>1229610.098</v>
      </c>
      <c r="I438" s="25">
        <f>H438/'Parâmetros'!$B$7</f>
        <v>1.229610098</v>
      </c>
      <c r="J438" s="23">
        <f t="shared" si="3"/>
        <v>2078230.325</v>
      </c>
      <c r="K438" s="23">
        <f t="shared" si="4"/>
        <v>5189705.136</v>
      </c>
      <c r="L438" s="29"/>
      <c r="M438" s="23"/>
    </row>
    <row r="439" ht="15.75" customHeight="1">
      <c r="A439" s="22">
        <v>438.0</v>
      </c>
      <c r="B439" s="22">
        <f t="shared" si="1"/>
        <v>37</v>
      </c>
      <c r="C439" s="23">
        <f>C438*(1+'Parâmetros'!$B$16)</f>
        <v>17468.56727</v>
      </c>
      <c r="D439" s="29">
        <f t="shared" si="6"/>
        <v>17468.56727</v>
      </c>
      <c r="E439" s="23">
        <f t="shared" si="5"/>
        <v>7267935.462</v>
      </c>
      <c r="F439" s="23">
        <f>E439*'Parâmetros'!$B$13</f>
        <v>57955.538</v>
      </c>
      <c r="G439" s="23">
        <f t="shared" si="2"/>
        <v>7343359.567</v>
      </c>
      <c r="H439" s="23">
        <f>G439/(1+'Parâmetros'!$B$14)^A439</f>
        <v>1237329.53</v>
      </c>
      <c r="I439" s="25">
        <f>H439/'Parâmetros'!$B$7</f>
        <v>1.23732953</v>
      </c>
      <c r="J439" s="23">
        <f t="shared" si="3"/>
        <v>2095698.892</v>
      </c>
      <c r="K439" s="23">
        <f t="shared" si="4"/>
        <v>5247660.674</v>
      </c>
      <c r="L439" s="29"/>
      <c r="M439" s="23"/>
    </row>
    <row r="440" ht="15.75" customHeight="1">
      <c r="A440" s="22">
        <v>439.0</v>
      </c>
      <c r="B440" s="22">
        <f t="shared" si="1"/>
        <v>37</v>
      </c>
      <c r="C440" s="23">
        <f>C439*(1+'Parâmetros'!$B$16)</f>
        <v>17611.19543</v>
      </c>
      <c r="D440" s="29">
        <f t="shared" si="6"/>
        <v>17611.19543</v>
      </c>
      <c r="E440" s="23">
        <f t="shared" si="5"/>
        <v>7343359.567</v>
      </c>
      <c r="F440" s="23">
        <f>E440*'Parâmetros'!$B$13</f>
        <v>58556.98041</v>
      </c>
      <c r="G440" s="23">
        <f t="shared" si="2"/>
        <v>7419527.743</v>
      </c>
      <c r="H440" s="23">
        <f>G440/(1+'Parâmetros'!$B$14)^A440</f>
        <v>1245090.937</v>
      </c>
      <c r="I440" s="25">
        <f>H440/'Parâmetros'!$B$7</f>
        <v>1.245090937</v>
      </c>
      <c r="J440" s="23">
        <f t="shared" si="3"/>
        <v>2113310.088</v>
      </c>
      <c r="K440" s="23">
        <f t="shared" si="4"/>
        <v>5306217.655</v>
      </c>
      <c r="L440" s="29"/>
      <c r="M440" s="23"/>
    </row>
    <row r="441" ht="15.75" customHeight="1">
      <c r="A441" s="22">
        <v>440.0</v>
      </c>
      <c r="B441" s="22">
        <f t="shared" si="1"/>
        <v>37</v>
      </c>
      <c r="C441" s="23">
        <f>C440*(1+'Parâmetros'!$B$16)</f>
        <v>17754.98813</v>
      </c>
      <c r="D441" s="29">
        <f t="shared" si="6"/>
        <v>17754.98813</v>
      </c>
      <c r="E441" s="23">
        <f t="shared" si="5"/>
        <v>7419527.743</v>
      </c>
      <c r="F441" s="23">
        <f>E441*'Parâmetros'!$B$13</f>
        <v>59164.35614</v>
      </c>
      <c r="G441" s="23">
        <f t="shared" si="2"/>
        <v>7496447.087</v>
      </c>
      <c r="H441" s="23">
        <f>G441/(1+'Parâmetros'!$B$14)^A441</f>
        <v>1252894.532</v>
      </c>
      <c r="I441" s="25">
        <f>H441/'Parâmetros'!$B$7</f>
        <v>1.252894532</v>
      </c>
      <c r="J441" s="23">
        <f t="shared" si="3"/>
        <v>2131065.076</v>
      </c>
      <c r="K441" s="23">
        <f t="shared" si="4"/>
        <v>5365382.011</v>
      </c>
      <c r="L441" s="29"/>
      <c r="M441" s="23"/>
    </row>
    <row r="442" ht="15.75" customHeight="1">
      <c r="A442" s="22">
        <v>441.0</v>
      </c>
      <c r="B442" s="22">
        <f t="shared" si="1"/>
        <v>37</v>
      </c>
      <c r="C442" s="23">
        <f>C441*(1+'Parâmetros'!$B$16)</f>
        <v>17899.95487</v>
      </c>
      <c r="D442" s="29">
        <f t="shared" si="6"/>
        <v>17899.95487</v>
      </c>
      <c r="E442" s="23">
        <f t="shared" si="5"/>
        <v>7496447.087</v>
      </c>
      <c r="F442" s="23">
        <f>E442*'Parâmetros'!$B$13</f>
        <v>59777.72179</v>
      </c>
      <c r="G442" s="23">
        <f t="shared" si="2"/>
        <v>7574124.764</v>
      </c>
      <c r="H442" s="23">
        <f>G442/(1+'Parâmetros'!$B$14)^A442</f>
        <v>1260740.528</v>
      </c>
      <c r="I442" s="25">
        <f>H442/'Parâmetros'!$B$7</f>
        <v>1.260740528</v>
      </c>
      <c r="J442" s="23">
        <f t="shared" si="3"/>
        <v>2148965.031</v>
      </c>
      <c r="K442" s="23">
        <f t="shared" si="4"/>
        <v>5425159.733</v>
      </c>
      <c r="L442" s="29"/>
      <c r="M442" s="23"/>
    </row>
    <row r="443" ht="15.75" customHeight="1">
      <c r="A443" s="22">
        <v>442.0</v>
      </c>
      <c r="B443" s="22">
        <f t="shared" si="1"/>
        <v>37</v>
      </c>
      <c r="C443" s="23">
        <f>C442*(1+'Parâmetros'!$B$16)</f>
        <v>18046.10525</v>
      </c>
      <c r="D443" s="29">
        <f t="shared" si="6"/>
        <v>18046.10525</v>
      </c>
      <c r="E443" s="23">
        <f t="shared" si="5"/>
        <v>7574124.764</v>
      </c>
      <c r="F443" s="23">
        <f>E443*'Parâmetros'!$B$13</f>
        <v>60397.13449</v>
      </c>
      <c r="G443" s="23">
        <f t="shared" si="2"/>
        <v>7652568.003</v>
      </c>
      <c r="H443" s="23">
        <f>G443/(1+'Parâmetros'!$B$14)^A443</f>
        <v>1268629.137</v>
      </c>
      <c r="I443" s="25">
        <f>H443/'Parâmetros'!$B$7</f>
        <v>1.268629137</v>
      </c>
      <c r="J443" s="23">
        <f t="shared" si="3"/>
        <v>2167011.136</v>
      </c>
      <c r="K443" s="23">
        <f t="shared" si="4"/>
        <v>5485556.867</v>
      </c>
      <c r="L443" s="29"/>
      <c r="M443" s="23"/>
    </row>
    <row r="444" ht="15.75" customHeight="1">
      <c r="A444" s="22">
        <v>443.0</v>
      </c>
      <c r="B444" s="22">
        <f t="shared" si="1"/>
        <v>37</v>
      </c>
      <c r="C444" s="23">
        <f>C443*(1+'Parâmetros'!$B$16)</f>
        <v>18193.44892</v>
      </c>
      <c r="D444" s="29">
        <f t="shared" si="6"/>
        <v>18193.44892</v>
      </c>
      <c r="E444" s="23">
        <f t="shared" si="5"/>
        <v>7652568.003</v>
      </c>
      <c r="F444" s="23">
        <f>E444*'Parâmetros'!$B$13</f>
        <v>61022.6519</v>
      </c>
      <c r="G444" s="23">
        <f t="shared" si="2"/>
        <v>7731784.104</v>
      </c>
      <c r="H444" s="23">
        <f>G444/(1+'Parâmetros'!$B$14)^A444</f>
        <v>1276560.576</v>
      </c>
      <c r="I444" s="25">
        <f>H444/'Parâmetros'!$B$7</f>
        <v>1.276560576</v>
      </c>
      <c r="J444" s="23">
        <f t="shared" si="3"/>
        <v>2185204.585</v>
      </c>
      <c r="K444" s="23">
        <f t="shared" si="4"/>
        <v>5546579.519</v>
      </c>
      <c r="L444" s="29"/>
      <c r="M444" s="23"/>
    </row>
    <row r="445" ht="15.75" customHeight="1">
      <c r="A445" s="22">
        <v>444.0</v>
      </c>
      <c r="B445" s="22">
        <f t="shared" si="1"/>
        <v>37</v>
      </c>
      <c r="C445" s="23">
        <f>C444*(1+'Parâmetros'!$B$16)</f>
        <v>18341.99563</v>
      </c>
      <c r="D445" s="29">
        <f t="shared" si="6"/>
        <v>18341.99563</v>
      </c>
      <c r="E445" s="23">
        <f t="shared" si="5"/>
        <v>7731784.104</v>
      </c>
      <c r="F445" s="23">
        <f>E445*'Parâmetros'!$B$13</f>
        <v>61654.33221</v>
      </c>
      <c r="G445" s="23">
        <f t="shared" si="2"/>
        <v>7811780.432</v>
      </c>
      <c r="H445" s="23">
        <f>G445/(1+'Parâmetros'!$B$14)^A445</f>
        <v>1284535.06</v>
      </c>
      <c r="I445" s="25">
        <f>H445/'Parâmetros'!$B$7</f>
        <v>1.28453506</v>
      </c>
      <c r="J445" s="23">
        <f t="shared" si="3"/>
        <v>2203546.581</v>
      </c>
      <c r="K445" s="23">
        <f t="shared" si="4"/>
        <v>5608233.851</v>
      </c>
      <c r="L445" s="29"/>
      <c r="M445" s="23"/>
    </row>
    <row r="446" ht="15.75" customHeight="1">
      <c r="A446" s="22">
        <v>445.0</v>
      </c>
      <c r="B446" s="22">
        <f t="shared" si="1"/>
        <v>38</v>
      </c>
      <c r="C446" s="23">
        <f>C445*(1+'Parâmetros'!$B$16)</f>
        <v>18491.7552</v>
      </c>
      <c r="D446" s="29">
        <f t="shared" si="6"/>
        <v>18491.7552</v>
      </c>
      <c r="E446" s="23">
        <f t="shared" si="5"/>
        <v>7811780.432</v>
      </c>
      <c r="F446" s="23">
        <f>E446*'Parâmetros'!$B$13</f>
        <v>62292.23416</v>
      </c>
      <c r="G446" s="23">
        <f t="shared" si="2"/>
        <v>7892564.421</v>
      </c>
      <c r="H446" s="23">
        <f>G446/(1+'Parâmetros'!$B$14)^A446</f>
        <v>1292552.806</v>
      </c>
      <c r="I446" s="25">
        <f>H446/'Parâmetros'!$B$7</f>
        <v>1.292552806</v>
      </c>
      <c r="J446" s="23">
        <f t="shared" si="3"/>
        <v>2222038.336</v>
      </c>
      <c r="K446" s="23">
        <f t="shared" si="4"/>
        <v>5670526.085</v>
      </c>
      <c r="L446" s="29"/>
      <c r="M446" s="23"/>
    </row>
    <row r="447" ht="15.75" customHeight="1">
      <c r="A447" s="22">
        <v>446.0</v>
      </c>
      <c r="B447" s="22">
        <f t="shared" si="1"/>
        <v>38</v>
      </c>
      <c r="C447" s="23">
        <f>C446*(1+'Parâmetros'!$B$16)</f>
        <v>18642.73754</v>
      </c>
      <c r="D447" s="29">
        <f t="shared" si="6"/>
        <v>18642.73754</v>
      </c>
      <c r="E447" s="23">
        <f t="shared" si="5"/>
        <v>7892564.421</v>
      </c>
      <c r="F447" s="23">
        <f>E447*'Parâmetros'!$B$13</f>
        <v>62936.41704</v>
      </c>
      <c r="G447" s="23">
        <f t="shared" si="2"/>
        <v>7974143.576</v>
      </c>
      <c r="H447" s="23">
        <f>G447/(1+'Parâmetros'!$B$14)^A447</f>
        <v>1300614.033</v>
      </c>
      <c r="I447" s="25">
        <f>H447/'Parâmetros'!$B$7</f>
        <v>1.300614033</v>
      </c>
      <c r="J447" s="23">
        <f t="shared" si="3"/>
        <v>2240681.073</v>
      </c>
      <c r="K447" s="23">
        <f t="shared" si="4"/>
        <v>5733462.503</v>
      </c>
      <c r="L447" s="29"/>
      <c r="M447" s="23"/>
    </row>
    <row r="448" ht="15.75" customHeight="1">
      <c r="A448" s="22">
        <v>447.0</v>
      </c>
      <c r="B448" s="22">
        <f t="shared" si="1"/>
        <v>38</v>
      </c>
      <c r="C448" s="23">
        <f>C447*(1+'Parâmetros'!$B$16)</f>
        <v>18794.95262</v>
      </c>
      <c r="D448" s="29">
        <f t="shared" si="6"/>
        <v>18794.95262</v>
      </c>
      <c r="E448" s="23">
        <f t="shared" si="5"/>
        <v>7974143.576</v>
      </c>
      <c r="F448" s="23">
        <f>E448*'Parâmetros'!$B$13</f>
        <v>63586.94067</v>
      </c>
      <c r="G448" s="23">
        <f t="shared" si="2"/>
        <v>8056525.469</v>
      </c>
      <c r="H448" s="23">
        <f>G448/(1+'Parâmetros'!$B$14)^A448</f>
        <v>1308718.959</v>
      </c>
      <c r="I448" s="25">
        <f>H448/'Parâmetros'!$B$7</f>
        <v>1.308718959</v>
      </c>
      <c r="J448" s="23">
        <f t="shared" si="3"/>
        <v>2259476.026</v>
      </c>
      <c r="K448" s="23">
        <f t="shared" si="4"/>
        <v>5797049.443</v>
      </c>
      <c r="L448" s="29"/>
      <c r="M448" s="23"/>
    </row>
    <row r="449" ht="15.75" customHeight="1">
      <c r="A449" s="22">
        <v>448.0</v>
      </c>
      <c r="B449" s="22">
        <f t="shared" si="1"/>
        <v>38</v>
      </c>
      <c r="C449" s="23">
        <f>C448*(1+'Parâmetros'!$B$16)</f>
        <v>18948.41051</v>
      </c>
      <c r="D449" s="29">
        <f t="shared" si="6"/>
        <v>18948.41051</v>
      </c>
      <c r="E449" s="23">
        <f t="shared" si="5"/>
        <v>8056525.469</v>
      </c>
      <c r="F449" s="23">
        <f>E449*'Parâmetros'!$B$13</f>
        <v>64243.86546</v>
      </c>
      <c r="G449" s="23">
        <f t="shared" si="2"/>
        <v>8139717.745</v>
      </c>
      <c r="H449" s="23">
        <f>G449/(1+'Parâmetros'!$B$14)^A449</f>
        <v>1316867.805</v>
      </c>
      <c r="I449" s="25">
        <f>H449/'Parâmetros'!$B$7</f>
        <v>1.316867805</v>
      </c>
      <c r="J449" s="23">
        <f t="shared" si="3"/>
        <v>2278424.436</v>
      </c>
      <c r="K449" s="23">
        <f t="shared" si="4"/>
        <v>5861293.309</v>
      </c>
      <c r="L449" s="29"/>
      <c r="M449" s="23"/>
    </row>
    <row r="450" ht="15.75" customHeight="1">
      <c r="A450" s="22">
        <v>449.0</v>
      </c>
      <c r="B450" s="22">
        <f t="shared" si="1"/>
        <v>38</v>
      </c>
      <c r="C450" s="23">
        <f>C449*(1+'Parâmetros'!$B$16)</f>
        <v>19103.12137</v>
      </c>
      <c r="D450" s="29">
        <f t="shared" si="6"/>
        <v>19103.12137</v>
      </c>
      <c r="E450" s="23">
        <f t="shared" si="5"/>
        <v>8139717.745</v>
      </c>
      <c r="F450" s="23">
        <f>E450*'Parâmetros'!$B$13</f>
        <v>64907.25235</v>
      </c>
      <c r="G450" s="23">
        <f t="shared" si="2"/>
        <v>8223728.119</v>
      </c>
      <c r="H450" s="23">
        <f>G450/(1+'Parâmetros'!$B$14)^A450</f>
        <v>1325060.792</v>
      </c>
      <c r="I450" s="25">
        <f>H450/'Parâmetros'!$B$7</f>
        <v>1.325060792</v>
      </c>
      <c r="J450" s="23">
        <f t="shared" si="3"/>
        <v>2297527.558</v>
      </c>
      <c r="K450" s="23">
        <f t="shared" si="4"/>
        <v>5926200.561</v>
      </c>
      <c r="L450" s="29"/>
      <c r="M450" s="23"/>
    </row>
    <row r="451" ht="15.75" customHeight="1">
      <c r="A451" s="22">
        <v>450.0</v>
      </c>
      <c r="B451" s="22">
        <f t="shared" si="1"/>
        <v>38</v>
      </c>
      <c r="C451" s="23">
        <f>C450*(1+'Parâmetros'!$B$16)</f>
        <v>19259.09541</v>
      </c>
      <c r="D451" s="29">
        <f t="shared" si="6"/>
        <v>19259.09541</v>
      </c>
      <c r="E451" s="23">
        <f t="shared" si="5"/>
        <v>8223728.119</v>
      </c>
      <c r="F451" s="23">
        <f>E451*'Parâmetros'!$B$13</f>
        <v>65577.16287</v>
      </c>
      <c r="G451" s="23">
        <f t="shared" si="2"/>
        <v>8308564.377</v>
      </c>
      <c r="H451" s="23">
        <f>G451/(1+'Parâmetros'!$B$14)^A451</f>
        <v>1333298.143</v>
      </c>
      <c r="I451" s="25">
        <f>H451/'Parâmetros'!$B$7</f>
        <v>1.333298143</v>
      </c>
      <c r="J451" s="23">
        <f t="shared" si="3"/>
        <v>2316786.653</v>
      </c>
      <c r="K451" s="23">
        <f t="shared" si="4"/>
        <v>5991777.724</v>
      </c>
      <c r="L451" s="29"/>
      <c r="M451" s="23"/>
    </row>
    <row r="452" ht="15.75" customHeight="1">
      <c r="A452" s="22">
        <v>451.0</v>
      </c>
      <c r="B452" s="22">
        <f t="shared" si="1"/>
        <v>38</v>
      </c>
      <c r="C452" s="23">
        <f>C451*(1+'Parâmetros'!$B$16)</f>
        <v>19416.34296</v>
      </c>
      <c r="D452" s="29">
        <f t="shared" si="6"/>
        <v>19416.34296</v>
      </c>
      <c r="E452" s="23">
        <f t="shared" si="5"/>
        <v>8308564.377</v>
      </c>
      <c r="F452" s="23">
        <f>E452*'Parâmetros'!$B$13</f>
        <v>66253.65911</v>
      </c>
      <c r="G452" s="23">
        <f t="shared" si="2"/>
        <v>8394234.379</v>
      </c>
      <c r="H452" s="23">
        <f>G452/(1+'Parâmetros'!$B$14)^A452</f>
        <v>1341580.08</v>
      </c>
      <c r="I452" s="25">
        <f>H452/'Parâmetros'!$B$7</f>
        <v>1.34158008</v>
      </c>
      <c r="J452" s="23">
        <f t="shared" si="3"/>
        <v>2336202.996</v>
      </c>
      <c r="K452" s="23">
        <f t="shared" si="4"/>
        <v>6058031.383</v>
      </c>
      <c r="L452" s="29"/>
      <c r="M452" s="23"/>
    </row>
    <row r="453" ht="15.75" customHeight="1">
      <c r="A453" s="22">
        <v>452.0</v>
      </c>
      <c r="B453" s="22">
        <f t="shared" si="1"/>
        <v>38</v>
      </c>
      <c r="C453" s="23">
        <f>C452*(1+'Parâmetros'!$B$16)</f>
        <v>19574.87441</v>
      </c>
      <c r="D453" s="29">
        <f t="shared" si="6"/>
        <v>19574.87441</v>
      </c>
      <c r="E453" s="23">
        <f t="shared" si="5"/>
        <v>8394234.379</v>
      </c>
      <c r="F453" s="23">
        <f>E453*'Parâmetros'!$B$13</f>
        <v>66936.80373</v>
      </c>
      <c r="G453" s="23">
        <f t="shared" si="2"/>
        <v>8480746.057</v>
      </c>
      <c r="H453" s="23">
        <f>G453/(1+'Parâmetros'!$B$14)^A453</f>
        <v>1349906.828</v>
      </c>
      <c r="I453" s="25">
        <f>H453/'Parâmetros'!$B$7</f>
        <v>1.349906828</v>
      </c>
      <c r="J453" s="23">
        <f t="shared" si="3"/>
        <v>2355777.871</v>
      </c>
      <c r="K453" s="23">
        <f t="shared" si="4"/>
        <v>6124968.187</v>
      </c>
      <c r="L453" s="29"/>
      <c r="M453" s="23"/>
    </row>
    <row r="454" ht="15.75" customHeight="1">
      <c r="A454" s="22">
        <v>453.0</v>
      </c>
      <c r="B454" s="22">
        <f t="shared" si="1"/>
        <v>38</v>
      </c>
      <c r="C454" s="23">
        <f>C453*(1+'Parâmetros'!$B$16)</f>
        <v>19734.70025</v>
      </c>
      <c r="D454" s="29">
        <f t="shared" si="6"/>
        <v>19734.70025</v>
      </c>
      <c r="E454" s="23">
        <f t="shared" si="5"/>
        <v>8480746.057</v>
      </c>
      <c r="F454" s="23">
        <f>E454*'Parâmetros'!$B$13</f>
        <v>67626.66</v>
      </c>
      <c r="G454" s="23">
        <f t="shared" si="2"/>
        <v>8568107.418</v>
      </c>
      <c r="H454" s="23">
        <f>G454/(1+'Parâmetros'!$B$14)^A454</f>
        <v>1358278.614</v>
      </c>
      <c r="I454" s="25">
        <f>H454/'Parâmetros'!$B$7</f>
        <v>1.358278614</v>
      </c>
      <c r="J454" s="23">
        <f t="shared" si="3"/>
        <v>2375512.571</v>
      </c>
      <c r="K454" s="23">
        <f t="shared" si="4"/>
        <v>6192594.847</v>
      </c>
      <c r="L454" s="29"/>
      <c r="M454" s="23"/>
    </row>
    <row r="455" ht="15.75" customHeight="1">
      <c r="A455" s="22">
        <v>454.0</v>
      </c>
      <c r="B455" s="22">
        <f t="shared" si="1"/>
        <v>38</v>
      </c>
      <c r="C455" s="23">
        <f>C454*(1+'Parâmetros'!$B$16)</f>
        <v>19895.83104</v>
      </c>
      <c r="D455" s="29">
        <f t="shared" si="6"/>
        <v>19895.83104</v>
      </c>
      <c r="E455" s="23">
        <f t="shared" si="5"/>
        <v>8568107.418</v>
      </c>
      <c r="F455" s="23">
        <f>E455*'Parâmetros'!$B$13</f>
        <v>68323.29176</v>
      </c>
      <c r="G455" s="23">
        <f t="shared" si="2"/>
        <v>8656326.54</v>
      </c>
      <c r="H455" s="23">
        <f>G455/(1+'Parâmetros'!$B$14)^A455</f>
        <v>1366695.662</v>
      </c>
      <c r="I455" s="25">
        <f>H455/'Parâmetros'!$B$7</f>
        <v>1.366695662</v>
      </c>
      <c r="J455" s="23">
        <f t="shared" si="3"/>
        <v>2395408.402</v>
      </c>
      <c r="K455" s="23">
        <f t="shared" si="4"/>
        <v>6260918.138</v>
      </c>
      <c r="L455" s="29"/>
      <c r="M455" s="23"/>
    </row>
    <row r="456" ht="15.75" customHeight="1">
      <c r="A456" s="22">
        <v>455.0</v>
      </c>
      <c r="B456" s="22">
        <f t="shared" si="1"/>
        <v>38</v>
      </c>
      <c r="C456" s="23">
        <f>C455*(1+'Parâmetros'!$B$16)</f>
        <v>20058.27744</v>
      </c>
      <c r="D456" s="29">
        <f t="shared" si="6"/>
        <v>20058.27744</v>
      </c>
      <c r="E456" s="23">
        <f t="shared" si="5"/>
        <v>8656326.54</v>
      </c>
      <c r="F456" s="23">
        <f>E456*'Parâmetros'!$B$13</f>
        <v>69026.76343</v>
      </c>
      <c r="G456" s="23">
        <f t="shared" si="2"/>
        <v>8745411.581</v>
      </c>
      <c r="H456" s="23">
        <f>G456/(1+'Parâmetros'!$B$14)^A456</f>
        <v>1375158.202</v>
      </c>
      <c r="I456" s="25">
        <f>H456/'Parâmetros'!$B$7</f>
        <v>1.375158202</v>
      </c>
      <c r="J456" s="23">
        <f t="shared" si="3"/>
        <v>2415466.679</v>
      </c>
      <c r="K456" s="23">
        <f t="shared" si="4"/>
        <v>6329944.902</v>
      </c>
      <c r="L456" s="29"/>
      <c r="M456" s="23"/>
    </row>
    <row r="457" ht="15.75" customHeight="1">
      <c r="A457" s="22">
        <v>456.0</v>
      </c>
      <c r="B457" s="22">
        <f t="shared" si="1"/>
        <v>38</v>
      </c>
      <c r="C457" s="23">
        <f>C456*(1+'Parâmetros'!$B$16)</f>
        <v>20222.05018</v>
      </c>
      <c r="D457" s="29">
        <f t="shared" si="6"/>
        <v>20222.05018</v>
      </c>
      <c r="E457" s="23">
        <f t="shared" si="5"/>
        <v>8745411.581</v>
      </c>
      <c r="F457" s="23">
        <f>E457*'Parâmetros'!$B$13</f>
        <v>69737.14006</v>
      </c>
      <c r="G457" s="23">
        <f t="shared" si="2"/>
        <v>8835370.772</v>
      </c>
      <c r="H457" s="23">
        <f>G457/(1+'Parâmetros'!$B$14)^A457</f>
        <v>1383666.462</v>
      </c>
      <c r="I457" s="25">
        <f>H457/'Parâmetros'!$B$7</f>
        <v>1.383666462</v>
      </c>
      <c r="J457" s="23">
        <f t="shared" si="3"/>
        <v>2435688.73</v>
      </c>
      <c r="K457" s="23">
        <f t="shared" si="4"/>
        <v>6399682.042</v>
      </c>
      <c r="L457" s="29"/>
      <c r="M457" s="23"/>
    </row>
    <row r="458" ht="15.75" customHeight="1">
      <c r="A458" s="22">
        <v>457.0</v>
      </c>
      <c r="B458" s="22">
        <f t="shared" si="1"/>
        <v>39</v>
      </c>
      <c r="C458" s="23">
        <f>C457*(1+'Parâmetros'!$B$16)</f>
        <v>20387.16011</v>
      </c>
      <c r="D458" s="29">
        <f t="shared" si="6"/>
        <v>20387.16011</v>
      </c>
      <c r="E458" s="23">
        <f t="shared" si="5"/>
        <v>8835370.772</v>
      </c>
      <c r="F458" s="23">
        <f>E458*'Parâmetros'!$B$13</f>
        <v>70454.48727</v>
      </c>
      <c r="G458" s="23">
        <f t="shared" si="2"/>
        <v>8926212.419</v>
      </c>
      <c r="H458" s="23">
        <f>G458/(1+'Parâmetros'!$B$14)^A458</f>
        <v>1392220.672</v>
      </c>
      <c r="I458" s="25">
        <f>H458/'Parâmetros'!$B$7</f>
        <v>1.392220672</v>
      </c>
      <c r="J458" s="23">
        <f t="shared" si="3"/>
        <v>2456075.89</v>
      </c>
      <c r="K458" s="23">
        <f t="shared" si="4"/>
        <v>6470136.529</v>
      </c>
      <c r="L458" s="29"/>
      <c r="M458" s="23"/>
    </row>
    <row r="459" ht="15.75" customHeight="1">
      <c r="A459" s="22">
        <v>458.0</v>
      </c>
      <c r="B459" s="22">
        <f t="shared" si="1"/>
        <v>39</v>
      </c>
      <c r="C459" s="23">
        <f>C458*(1+'Parâmetros'!$B$16)</f>
        <v>20553.61813</v>
      </c>
      <c r="D459" s="29">
        <f t="shared" si="6"/>
        <v>20553.61813</v>
      </c>
      <c r="E459" s="23">
        <f t="shared" si="5"/>
        <v>8926212.419</v>
      </c>
      <c r="F459" s="23">
        <f>E459*'Parâmetros'!$B$13</f>
        <v>71178.87133</v>
      </c>
      <c r="G459" s="23">
        <f t="shared" si="2"/>
        <v>9017944.908</v>
      </c>
      <c r="H459" s="23">
        <f>G459/(1+'Parâmetros'!$B$14)^A459</f>
        <v>1400821.063</v>
      </c>
      <c r="I459" s="25">
        <f>H459/'Parâmetros'!$B$7</f>
        <v>1.400821063</v>
      </c>
      <c r="J459" s="23">
        <f t="shared" si="3"/>
        <v>2476629.508</v>
      </c>
      <c r="K459" s="23">
        <f t="shared" si="4"/>
        <v>6541315.401</v>
      </c>
      <c r="L459" s="29"/>
      <c r="M459" s="23"/>
    </row>
    <row r="460" ht="15.75" customHeight="1">
      <c r="A460" s="22">
        <v>459.0</v>
      </c>
      <c r="B460" s="22">
        <f t="shared" si="1"/>
        <v>39</v>
      </c>
      <c r="C460" s="23">
        <f>C459*(1+'Parâmetros'!$B$16)</f>
        <v>20721.43526</v>
      </c>
      <c r="D460" s="29">
        <f t="shared" si="6"/>
        <v>20721.43526</v>
      </c>
      <c r="E460" s="23">
        <f t="shared" si="5"/>
        <v>9017944.908</v>
      </c>
      <c r="F460" s="23">
        <f>E460*'Parâmetros'!$B$13</f>
        <v>71910.35908</v>
      </c>
      <c r="G460" s="23">
        <f t="shared" si="2"/>
        <v>9110576.703</v>
      </c>
      <c r="H460" s="23">
        <f>G460/(1+'Parâmetros'!$B$14)^A460</f>
        <v>1409467.867</v>
      </c>
      <c r="I460" s="25">
        <f>H460/'Parâmetros'!$B$7</f>
        <v>1.409467867</v>
      </c>
      <c r="J460" s="23">
        <f t="shared" si="3"/>
        <v>2497350.943</v>
      </c>
      <c r="K460" s="23">
        <f t="shared" si="4"/>
        <v>6613225.76</v>
      </c>
      <c r="L460" s="29"/>
      <c r="M460" s="23"/>
    </row>
    <row r="461" ht="15.75" customHeight="1">
      <c r="A461" s="22">
        <v>460.0</v>
      </c>
      <c r="B461" s="22">
        <f t="shared" si="1"/>
        <v>39</v>
      </c>
      <c r="C461" s="23">
        <f>C460*(1+'Parâmetros'!$B$16)</f>
        <v>20890.62259</v>
      </c>
      <c r="D461" s="29">
        <f t="shared" si="6"/>
        <v>20890.62259</v>
      </c>
      <c r="E461" s="23">
        <f t="shared" si="5"/>
        <v>9110576.703</v>
      </c>
      <c r="F461" s="23">
        <f>E461*'Parâmetros'!$B$13</f>
        <v>72649.01802</v>
      </c>
      <c r="G461" s="23">
        <f t="shared" si="2"/>
        <v>9204116.343</v>
      </c>
      <c r="H461" s="23">
        <f>G461/(1+'Parâmetros'!$B$14)^A461</f>
        <v>1418161.318</v>
      </c>
      <c r="I461" s="25">
        <f>H461/'Parâmetros'!$B$7</f>
        <v>1.418161318</v>
      </c>
      <c r="J461" s="23">
        <f t="shared" si="3"/>
        <v>2518241.566</v>
      </c>
      <c r="K461" s="23">
        <f t="shared" si="4"/>
        <v>6685874.778</v>
      </c>
      <c r="L461" s="29"/>
      <c r="M461" s="23"/>
    </row>
    <row r="462" ht="15.75" customHeight="1">
      <c r="A462" s="22">
        <v>461.0</v>
      </c>
      <c r="B462" s="22">
        <f t="shared" si="1"/>
        <v>39</v>
      </c>
      <c r="C462" s="23">
        <f>C461*(1+'Parâmetros'!$B$16)</f>
        <v>21061.19131</v>
      </c>
      <c r="D462" s="29">
        <f t="shared" si="6"/>
        <v>21061.19131</v>
      </c>
      <c r="E462" s="23">
        <f t="shared" si="5"/>
        <v>9204116.343</v>
      </c>
      <c r="F462" s="23">
        <f>E462*'Parâmetros'!$B$13</f>
        <v>73394.91625</v>
      </c>
      <c r="G462" s="23">
        <f t="shared" si="2"/>
        <v>9298572.451</v>
      </c>
      <c r="H462" s="23">
        <f>G462/(1+'Parâmetros'!$B$14)^A462</f>
        <v>1426901.65</v>
      </c>
      <c r="I462" s="25">
        <f>H462/'Parâmetros'!$B$7</f>
        <v>1.42690165</v>
      </c>
      <c r="J462" s="23">
        <f t="shared" si="3"/>
        <v>2539302.757</v>
      </c>
      <c r="K462" s="23">
        <f t="shared" si="4"/>
        <v>6759269.694</v>
      </c>
      <c r="L462" s="29"/>
      <c r="M462" s="23"/>
    </row>
    <row r="463" ht="15.75" customHeight="1">
      <c r="A463" s="22">
        <v>462.0</v>
      </c>
      <c r="B463" s="22">
        <f t="shared" si="1"/>
        <v>39</v>
      </c>
      <c r="C463" s="23">
        <f>C462*(1+'Parâmetros'!$B$16)</f>
        <v>21233.15269</v>
      </c>
      <c r="D463" s="29">
        <f t="shared" si="6"/>
        <v>21233.15269</v>
      </c>
      <c r="E463" s="23">
        <f t="shared" si="5"/>
        <v>9298572.451</v>
      </c>
      <c r="F463" s="23">
        <f>E463*'Parâmetros'!$B$13</f>
        <v>74148.12251</v>
      </c>
      <c r="G463" s="23">
        <f t="shared" si="2"/>
        <v>9393953.726</v>
      </c>
      <c r="H463" s="23">
        <f>G463/(1+'Parâmetros'!$B$14)^A463</f>
        <v>1435689.097</v>
      </c>
      <c r="I463" s="25">
        <f>H463/'Parâmetros'!$B$7</f>
        <v>1.435689097</v>
      </c>
      <c r="J463" s="23">
        <f t="shared" si="3"/>
        <v>2560535.91</v>
      </c>
      <c r="K463" s="23">
        <f t="shared" si="4"/>
        <v>6833417.816</v>
      </c>
      <c r="L463" s="29"/>
      <c r="M463" s="23"/>
    </row>
    <row r="464" ht="15.75" customHeight="1">
      <c r="A464" s="22">
        <v>463.0</v>
      </c>
      <c r="B464" s="22">
        <f t="shared" si="1"/>
        <v>39</v>
      </c>
      <c r="C464" s="23">
        <f>C463*(1+'Parâmetros'!$B$16)</f>
        <v>21406.51812</v>
      </c>
      <c r="D464" s="29">
        <f t="shared" si="6"/>
        <v>21406.51812</v>
      </c>
      <c r="E464" s="23">
        <f t="shared" si="5"/>
        <v>9393953.726</v>
      </c>
      <c r="F464" s="23">
        <f>E464*'Parâmetros'!$B$13</f>
        <v>74908.70619</v>
      </c>
      <c r="G464" s="23">
        <f t="shared" si="2"/>
        <v>9490268.95</v>
      </c>
      <c r="H464" s="23">
        <f>G464/(1+'Parâmetros'!$B$14)^A464</f>
        <v>1444523.898</v>
      </c>
      <c r="I464" s="25">
        <f>H464/'Parâmetros'!$B$7</f>
        <v>1.444523898</v>
      </c>
      <c r="J464" s="23">
        <f t="shared" si="3"/>
        <v>2581942.428</v>
      </c>
      <c r="K464" s="23">
        <f t="shared" si="4"/>
        <v>6908326.523</v>
      </c>
      <c r="L464" s="29"/>
      <c r="M464" s="23"/>
    </row>
    <row r="465" ht="15.75" customHeight="1">
      <c r="A465" s="22">
        <v>464.0</v>
      </c>
      <c r="B465" s="22">
        <f t="shared" si="1"/>
        <v>39</v>
      </c>
      <c r="C465" s="23">
        <f>C464*(1+'Parâmetros'!$B$16)</f>
        <v>21581.29904</v>
      </c>
      <c r="D465" s="29">
        <f t="shared" si="6"/>
        <v>21581.29904</v>
      </c>
      <c r="E465" s="23">
        <f t="shared" si="5"/>
        <v>9490268.95</v>
      </c>
      <c r="F465" s="23">
        <f>E465*'Parâmetros'!$B$13</f>
        <v>75676.73732</v>
      </c>
      <c r="G465" s="23">
        <f t="shared" si="2"/>
        <v>9587526.987</v>
      </c>
      <c r="H465" s="23">
        <f>G465/(1+'Parâmetros'!$B$14)^A465</f>
        <v>1453406.29</v>
      </c>
      <c r="I465" s="25">
        <f>H465/'Parâmetros'!$B$7</f>
        <v>1.45340629</v>
      </c>
      <c r="J465" s="23">
        <f t="shared" si="3"/>
        <v>2603523.727</v>
      </c>
      <c r="K465" s="23">
        <f t="shared" si="4"/>
        <v>6984003.26</v>
      </c>
      <c r="L465" s="29"/>
      <c r="M465" s="23"/>
    </row>
    <row r="466" ht="15.75" customHeight="1">
      <c r="A466" s="22">
        <v>465.0</v>
      </c>
      <c r="B466" s="22">
        <f t="shared" si="1"/>
        <v>39</v>
      </c>
      <c r="C466" s="23">
        <f>C465*(1+'Parâmetros'!$B$16)</f>
        <v>21757.50702</v>
      </c>
      <c r="D466" s="29">
        <f t="shared" si="6"/>
        <v>21757.50702</v>
      </c>
      <c r="E466" s="23">
        <f t="shared" si="5"/>
        <v>9587526.987</v>
      </c>
      <c r="F466" s="23">
        <f>E466*'Parâmetros'!$B$13</f>
        <v>76452.28656</v>
      </c>
      <c r="G466" s="23">
        <f t="shared" si="2"/>
        <v>9685736.78</v>
      </c>
      <c r="H466" s="23">
        <f>G466/(1+'Parâmetros'!$B$14)^A466</f>
        <v>1462336.511</v>
      </c>
      <c r="I466" s="25">
        <f>H466/'Parâmetros'!$B$7</f>
        <v>1.462336511</v>
      </c>
      <c r="J466" s="23">
        <f t="shared" si="3"/>
        <v>2625281.234</v>
      </c>
      <c r="K466" s="23">
        <f t="shared" si="4"/>
        <v>7060455.546</v>
      </c>
      <c r="L466" s="29"/>
      <c r="M466" s="23"/>
    </row>
    <row r="467" ht="15.75" customHeight="1">
      <c r="A467" s="22">
        <v>466.0</v>
      </c>
      <c r="B467" s="22">
        <f t="shared" si="1"/>
        <v>39</v>
      </c>
      <c r="C467" s="23">
        <f>C466*(1+'Parâmetros'!$B$16)</f>
        <v>21935.15372</v>
      </c>
      <c r="D467" s="29">
        <f t="shared" si="6"/>
        <v>21935.15372</v>
      </c>
      <c r="E467" s="23">
        <f t="shared" si="5"/>
        <v>9685736.78</v>
      </c>
      <c r="F467" s="23">
        <f>E467*'Parâmetros'!$B$13</f>
        <v>77235.42524</v>
      </c>
      <c r="G467" s="23">
        <f t="shared" si="2"/>
        <v>9784907.359</v>
      </c>
      <c r="H467" s="23">
        <f>G467/(1+'Parâmetros'!$B$14)^A467</f>
        <v>1471314.803</v>
      </c>
      <c r="I467" s="25">
        <f>H467/'Parâmetros'!$B$7</f>
        <v>1.471314803</v>
      </c>
      <c r="J467" s="23">
        <f t="shared" si="3"/>
        <v>2647216.388</v>
      </c>
      <c r="K467" s="23">
        <f t="shared" si="4"/>
        <v>7137690.972</v>
      </c>
      <c r="L467" s="29"/>
      <c r="M467" s="23"/>
    </row>
    <row r="468" ht="15.75" customHeight="1">
      <c r="A468" s="22">
        <v>467.0</v>
      </c>
      <c r="B468" s="22">
        <f t="shared" si="1"/>
        <v>39</v>
      </c>
      <c r="C468" s="23">
        <f>C467*(1+'Parâmetros'!$B$16)</f>
        <v>22114.25087</v>
      </c>
      <c r="D468" s="29">
        <f t="shared" si="6"/>
        <v>22114.25087</v>
      </c>
      <c r="E468" s="23">
        <f t="shared" si="5"/>
        <v>9784907.359</v>
      </c>
      <c r="F468" s="23">
        <f>E468*'Parâmetros'!$B$13</f>
        <v>78026.22537</v>
      </c>
      <c r="G468" s="23">
        <f t="shared" si="2"/>
        <v>9885047.836</v>
      </c>
      <c r="H468" s="23">
        <f>G468/(1+'Parâmetros'!$B$14)^A468</f>
        <v>1480341.405</v>
      </c>
      <c r="I468" s="25">
        <f>H468/'Parâmetros'!$B$7</f>
        <v>1.480341405</v>
      </c>
      <c r="J468" s="23">
        <f t="shared" si="3"/>
        <v>2669330.638</v>
      </c>
      <c r="K468" s="23">
        <f t="shared" si="4"/>
        <v>7215717.197</v>
      </c>
      <c r="L468" s="29"/>
      <c r="M468" s="23"/>
    </row>
    <row r="469" ht="15.75" customHeight="1">
      <c r="A469" s="22">
        <v>468.0</v>
      </c>
      <c r="B469" s="22">
        <f t="shared" si="1"/>
        <v>39</v>
      </c>
      <c r="C469" s="23">
        <f>C468*(1+'Parâmetros'!$B$16)</f>
        <v>22294.81033</v>
      </c>
      <c r="D469" s="29">
        <f t="shared" si="6"/>
        <v>22294.81033</v>
      </c>
      <c r="E469" s="23">
        <f t="shared" si="5"/>
        <v>9885047.836</v>
      </c>
      <c r="F469" s="23">
        <f>E469*'Parâmetros'!$B$13</f>
        <v>78824.75959</v>
      </c>
      <c r="G469" s="23">
        <f t="shared" si="2"/>
        <v>9986167.405</v>
      </c>
      <c r="H469" s="23">
        <f>G469/(1+'Parâmetros'!$B$14)^A469</f>
        <v>1489416.561</v>
      </c>
      <c r="I469" s="25">
        <f>H469/'Parâmetros'!$B$7</f>
        <v>1.489416561</v>
      </c>
      <c r="J469" s="23">
        <f t="shared" si="3"/>
        <v>2691625.449</v>
      </c>
      <c r="K469" s="23">
        <f t="shared" si="4"/>
        <v>7294541.957</v>
      </c>
      <c r="L469" s="29"/>
      <c r="M469" s="23"/>
    </row>
    <row r="470" ht="15.75" customHeight="1">
      <c r="A470" s="22">
        <v>469.0</v>
      </c>
      <c r="B470" s="22">
        <f t="shared" si="1"/>
        <v>40</v>
      </c>
      <c r="C470" s="23">
        <f>C469*(1+'Parâmetros'!$B$16)</f>
        <v>22476.84402</v>
      </c>
      <c r="D470" s="29">
        <f t="shared" si="6"/>
        <v>22476.84402</v>
      </c>
      <c r="E470" s="23">
        <f t="shared" si="5"/>
        <v>9986167.405</v>
      </c>
      <c r="F470" s="23">
        <f>E470*'Parâmetros'!$B$13</f>
        <v>79631.10124</v>
      </c>
      <c r="G470" s="23">
        <f t="shared" si="2"/>
        <v>10088275.35</v>
      </c>
      <c r="H470" s="23">
        <f>G470/(1+'Parâmetros'!$B$14)^A470</f>
        <v>1498540.514</v>
      </c>
      <c r="I470" s="25">
        <f>H470/'Parâmetros'!$B$7</f>
        <v>1.498540514</v>
      </c>
      <c r="J470" s="23">
        <f t="shared" si="3"/>
        <v>2714102.293</v>
      </c>
      <c r="K470" s="23">
        <f t="shared" si="4"/>
        <v>7374173.058</v>
      </c>
      <c r="L470" s="29"/>
      <c r="M470" s="23"/>
    </row>
    <row r="471" ht="15.75" customHeight="1">
      <c r="A471" s="22">
        <v>470.0</v>
      </c>
      <c r="B471" s="22">
        <f t="shared" si="1"/>
        <v>40</v>
      </c>
      <c r="C471" s="23">
        <f>C470*(1+'Parâmetros'!$B$16)</f>
        <v>22660.36399</v>
      </c>
      <c r="D471" s="29">
        <f t="shared" si="6"/>
        <v>22660.36399</v>
      </c>
      <c r="E471" s="23">
        <f t="shared" si="5"/>
        <v>10088275.35</v>
      </c>
      <c r="F471" s="23">
        <f>E471*'Parâmetros'!$B$13</f>
        <v>80445.32433</v>
      </c>
      <c r="G471" s="23">
        <f t="shared" si="2"/>
        <v>10191381.04</v>
      </c>
      <c r="H471" s="23">
        <f>G471/(1+'Parâmetros'!$B$14)^A471</f>
        <v>1507713.508</v>
      </c>
      <c r="I471" s="25">
        <f>H471/'Parâmetros'!$B$7</f>
        <v>1.507713508</v>
      </c>
      <c r="J471" s="23">
        <f t="shared" si="3"/>
        <v>2736762.657</v>
      </c>
      <c r="K471" s="23">
        <f t="shared" si="4"/>
        <v>7454618.382</v>
      </c>
      <c r="L471" s="29"/>
      <c r="M471" s="23"/>
    </row>
    <row r="472" ht="15.75" customHeight="1">
      <c r="A472" s="22">
        <v>471.0</v>
      </c>
      <c r="B472" s="22">
        <f t="shared" si="1"/>
        <v>40</v>
      </c>
      <c r="C472" s="23">
        <f>C471*(1+'Parâmetros'!$B$16)</f>
        <v>22845.38238</v>
      </c>
      <c r="D472" s="29">
        <f t="shared" si="6"/>
        <v>22845.38238</v>
      </c>
      <c r="E472" s="23">
        <f t="shared" si="5"/>
        <v>10191381.04</v>
      </c>
      <c r="F472" s="23">
        <f>E472*'Parâmetros'!$B$13</f>
        <v>81267.50357</v>
      </c>
      <c r="G472" s="23">
        <f t="shared" si="2"/>
        <v>10295493.92</v>
      </c>
      <c r="H472" s="23">
        <f>G472/(1+'Parâmetros'!$B$14)^A472</f>
        <v>1516935.791</v>
      </c>
      <c r="I472" s="25">
        <f>H472/'Parâmetros'!$B$7</f>
        <v>1.516935791</v>
      </c>
      <c r="J472" s="23">
        <f t="shared" si="3"/>
        <v>2759608.039</v>
      </c>
      <c r="K472" s="23">
        <f t="shared" si="4"/>
        <v>7535885.886</v>
      </c>
      <c r="L472" s="29"/>
      <c r="M472" s="23"/>
    </row>
    <row r="473" ht="15.75" customHeight="1">
      <c r="A473" s="22">
        <v>472.0</v>
      </c>
      <c r="B473" s="22">
        <f t="shared" si="1"/>
        <v>40</v>
      </c>
      <c r="C473" s="23">
        <f>C472*(1+'Parâmetros'!$B$16)</f>
        <v>23031.91141</v>
      </c>
      <c r="D473" s="29">
        <f t="shared" si="6"/>
        <v>23031.91141</v>
      </c>
      <c r="E473" s="23">
        <f t="shared" si="5"/>
        <v>10295493.92</v>
      </c>
      <c r="F473" s="23">
        <f>E473*'Parâmetros'!$B$13</f>
        <v>82097.71434</v>
      </c>
      <c r="G473" s="23">
        <f t="shared" si="2"/>
        <v>10400623.55</v>
      </c>
      <c r="H473" s="23">
        <f>G473/(1+'Parâmetros'!$B$14)^A473</f>
        <v>1526207.608</v>
      </c>
      <c r="I473" s="25">
        <f>H473/'Parâmetros'!$B$7</f>
        <v>1.526207608</v>
      </c>
      <c r="J473" s="23">
        <f t="shared" si="3"/>
        <v>2782639.951</v>
      </c>
      <c r="K473" s="23">
        <f t="shared" si="4"/>
        <v>7617983.6</v>
      </c>
      <c r="L473" s="29"/>
      <c r="M473" s="23"/>
    </row>
    <row r="474" ht="15.75" customHeight="1">
      <c r="A474" s="22">
        <v>473.0</v>
      </c>
      <c r="B474" s="22">
        <f t="shared" si="1"/>
        <v>40</v>
      </c>
      <c r="C474" s="23">
        <f>C473*(1+'Parâmetros'!$B$16)</f>
        <v>23219.96342</v>
      </c>
      <c r="D474" s="29">
        <f t="shared" si="6"/>
        <v>23219.96342</v>
      </c>
      <c r="E474" s="23">
        <f t="shared" si="5"/>
        <v>10400623.55</v>
      </c>
      <c r="F474" s="23">
        <f>E474*'Parâmetros'!$B$13</f>
        <v>82936.03274</v>
      </c>
      <c r="G474" s="23">
        <f t="shared" si="2"/>
        <v>10506779.55</v>
      </c>
      <c r="H474" s="23">
        <f>G474/(1+'Parâmetros'!$B$14)^A474</f>
        <v>1535529.208</v>
      </c>
      <c r="I474" s="25">
        <f>H474/'Parâmetros'!$B$7</f>
        <v>1.535529208</v>
      </c>
      <c r="J474" s="23">
        <f t="shared" si="3"/>
        <v>2805859.914</v>
      </c>
      <c r="K474" s="23">
        <f t="shared" si="4"/>
        <v>7700919.633</v>
      </c>
      <c r="L474" s="29"/>
      <c r="M474" s="23"/>
    </row>
    <row r="475" ht="15.75" customHeight="1">
      <c r="A475" s="22">
        <v>474.0</v>
      </c>
      <c r="B475" s="22">
        <f t="shared" si="1"/>
        <v>40</v>
      </c>
      <c r="C475" s="23">
        <f>C474*(1+'Parâmetros'!$B$16)</f>
        <v>23409.55084</v>
      </c>
      <c r="D475" s="29">
        <f t="shared" si="6"/>
        <v>23409.55084</v>
      </c>
      <c r="E475" s="23">
        <f t="shared" si="5"/>
        <v>10506779.55</v>
      </c>
      <c r="F475" s="23">
        <f>E475*'Parâmetros'!$B$13</f>
        <v>83782.53556</v>
      </c>
      <c r="G475" s="23">
        <f t="shared" si="2"/>
        <v>10613971.63</v>
      </c>
      <c r="H475" s="23">
        <f>G475/(1+'Parâmetros'!$B$14)^A475</f>
        <v>1544900.84</v>
      </c>
      <c r="I475" s="25">
        <f>H475/'Parâmetros'!$B$7</f>
        <v>1.54490084</v>
      </c>
      <c r="J475" s="23">
        <f t="shared" si="3"/>
        <v>2829269.465</v>
      </c>
      <c r="K475" s="23">
        <f t="shared" si="4"/>
        <v>7784702.168</v>
      </c>
      <c r="L475" s="29"/>
      <c r="M475" s="23"/>
    </row>
    <row r="476" ht="15.75" customHeight="1">
      <c r="A476" s="22">
        <v>475.0</v>
      </c>
      <c r="B476" s="22">
        <f t="shared" si="1"/>
        <v>40</v>
      </c>
      <c r="C476" s="23">
        <f>C475*(1+'Parâmetros'!$B$16)</f>
        <v>23600.68622</v>
      </c>
      <c r="D476" s="29">
        <f t="shared" si="6"/>
        <v>23600.68622</v>
      </c>
      <c r="E476" s="23">
        <f t="shared" si="5"/>
        <v>10613971.63</v>
      </c>
      <c r="F476" s="23">
        <f>E476*'Parâmetros'!$B$13</f>
        <v>84637.30031</v>
      </c>
      <c r="G476" s="23">
        <f t="shared" si="2"/>
        <v>10722209.62</v>
      </c>
      <c r="H476" s="23">
        <f>G476/(1+'Parâmetros'!$B$14)^A476</f>
        <v>1554322.756</v>
      </c>
      <c r="I476" s="25">
        <f>H476/'Parâmetros'!$B$7</f>
        <v>1.554322756</v>
      </c>
      <c r="J476" s="23">
        <f t="shared" si="3"/>
        <v>2852870.151</v>
      </c>
      <c r="K476" s="23">
        <f t="shared" si="4"/>
        <v>7869339.469</v>
      </c>
      <c r="L476" s="29"/>
      <c r="M476" s="23"/>
    </row>
    <row r="477" ht="15.75" customHeight="1">
      <c r="A477" s="22">
        <v>476.0</v>
      </c>
      <c r="B477" s="22">
        <f t="shared" si="1"/>
        <v>40</v>
      </c>
      <c r="C477" s="23">
        <f>C476*(1+'Parâmetros'!$B$16)</f>
        <v>23793.38219</v>
      </c>
      <c r="D477" s="29">
        <f t="shared" si="6"/>
        <v>23793.38219</v>
      </c>
      <c r="E477" s="23">
        <f t="shared" si="5"/>
        <v>10722209.62</v>
      </c>
      <c r="F477" s="23">
        <f>E477*'Parâmetros'!$B$13</f>
        <v>85500.40522</v>
      </c>
      <c r="G477" s="23">
        <f t="shared" si="2"/>
        <v>10831503.41</v>
      </c>
      <c r="H477" s="23">
        <f>G477/(1+'Parâmetros'!$B$14)^A477</f>
        <v>1563795.207</v>
      </c>
      <c r="I477" s="25">
        <f>H477/'Parâmetros'!$B$7</f>
        <v>1.563795207</v>
      </c>
      <c r="J477" s="23">
        <f t="shared" si="3"/>
        <v>2876663.533</v>
      </c>
      <c r="K477" s="23">
        <f t="shared" si="4"/>
        <v>7954839.874</v>
      </c>
      <c r="L477" s="29"/>
      <c r="M477" s="23"/>
    </row>
    <row r="478" ht="15.75" customHeight="1">
      <c r="A478" s="22">
        <v>477.0</v>
      </c>
      <c r="B478" s="22">
        <f t="shared" si="1"/>
        <v>40</v>
      </c>
      <c r="C478" s="23">
        <f>C477*(1+'Parâmetros'!$B$16)</f>
        <v>23987.65149</v>
      </c>
      <c r="D478" s="29">
        <f t="shared" si="6"/>
        <v>23987.65149</v>
      </c>
      <c r="E478" s="23">
        <f t="shared" si="5"/>
        <v>10831503.41</v>
      </c>
      <c r="F478" s="23">
        <f>E478*'Parâmetros'!$B$13</f>
        <v>86371.92923</v>
      </c>
      <c r="G478" s="23">
        <f t="shared" si="2"/>
        <v>10941862.99</v>
      </c>
      <c r="H478" s="23">
        <f>G478/(1+'Parâmetros'!$B$14)^A478</f>
        <v>1573318.445</v>
      </c>
      <c r="I478" s="25">
        <f>H478/'Parâmetros'!$B$7</f>
        <v>1.573318445</v>
      </c>
      <c r="J478" s="23">
        <f t="shared" si="3"/>
        <v>2900651.185</v>
      </c>
      <c r="K478" s="23">
        <f t="shared" si="4"/>
        <v>8041211.803</v>
      </c>
      <c r="L478" s="29"/>
      <c r="M478" s="23"/>
    </row>
    <row r="479" ht="15.75" customHeight="1">
      <c r="A479" s="22">
        <v>478.0</v>
      </c>
      <c r="B479" s="22">
        <f t="shared" si="1"/>
        <v>40</v>
      </c>
      <c r="C479" s="23">
        <f>C478*(1+'Parâmetros'!$B$16)</f>
        <v>24183.50698</v>
      </c>
      <c r="D479" s="29">
        <f t="shared" si="6"/>
        <v>24183.50698</v>
      </c>
      <c r="E479" s="23">
        <f t="shared" si="5"/>
        <v>10941862.99</v>
      </c>
      <c r="F479" s="23">
        <f>E479*'Parâmetros'!$B$13</f>
        <v>87251.95202</v>
      </c>
      <c r="G479" s="23">
        <f t="shared" si="2"/>
        <v>11053298.45</v>
      </c>
      <c r="H479" s="23">
        <f>G479/(1+'Parâmetros'!$B$14)^A479</f>
        <v>1582892.727</v>
      </c>
      <c r="I479" s="25">
        <f>H479/'Parâmetros'!$B$7</f>
        <v>1.582892727</v>
      </c>
      <c r="J479" s="23">
        <f t="shared" si="3"/>
        <v>2924834.692</v>
      </c>
      <c r="K479" s="23">
        <f t="shared" si="4"/>
        <v>8128463.755</v>
      </c>
      <c r="L479" s="29"/>
      <c r="M479" s="23"/>
    </row>
    <row r="480" ht="15.75" customHeight="1">
      <c r="A480" s="22">
        <v>479.0</v>
      </c>
      <c r="B480" s="22">
        <f t="shared" si="1"/>
        <v>40</v>
      </c>
      <c r="C480" s="23">
        <f>C479*(1+'Parâmetros'!$B$16)</f>
        <v>24380.96159</v>
      </c>
      <c r="D480" s="29">
        <f t="shared" si="6"/>
        <v>24380.96159</v>
      </c>
      <c r="E480" s="23">
        <f t="shared" si="5"/>
        <v>11053298.45</v>
      </c>
      <c r="F480" s="23">
        <f>E480*'Parâmetros'!$B$13</f>
        <v>88140.55402</v>
      </c>
      <c r="G480" s="23">
        <f t="shared" si="2"/>
        <v>11165819.96</v>
      </c>
      <c r="H480" s="23">
        <f>G480/(1+'Parâmetros'!$B$14)^A480</f>
        <v>1592518.306</v>
      </c>
      <c r="I480" s="25">
        <f>H480/'Parâmetros'!$B$7</f>
        <v>1.592518306</v>
      </c>
      <c r="J480" s="23">
        <f t="shared" si="3"/>
        <v>2949215.653</v>
      </c>
      <c r="K480" s="23">
        <f t="shared" si="4"/>
        <v>8216604.309</v>
      </c>
      <c r="L480" s="29"/>
      <c r="M480" s="23"/>
    </row>
    <row r="481" ht="15.75" customHeight="1">
      <c r="A481" s="22">
        <v>480.0</v>
      </c>
      <c r="B481" s="22">
        <f t="shared" si="1"/>
        <v>40</v>
      </c>
      <c r="C481" s="23">
        <f>C480*(1+'Parâmetros'!$B$16)</f>
        <v>24580.02839</v>
      </c>
      <c r="D481" s="29">
        <f t="shared" si="6"/>
        <v>24580.02839</v>
      </c>
      <c r="E481" s="23">
        <f t="shared" si="5"/>
        <v>11165819.96</v>
      </c>
      <c r="F481" s="23">
        <f>E481*'Parâmetros'!$B$13</f>
        <v>89037.81639</v>
      </c>
      <c r="G481" s="23">
        <f t="shared" si="2"/>
        <v>11279437.81</v>
      </c>
      <c r="H481" s="23">
        <f>G481/(1+'Parâmetros'!$B$14)^A481</f>
        <v>1602195.439</v>
      </c>
      <c r="I481" s="25">
        <f>H481/'Parâmetros'!$B$7</f>
        <v>1.602195439</v>
      </c>
      <c r="J481" s="23">
        <f t="shared" si="3"/>
        <v>2973795.682</v>
      </c>
      <c r="K481" s="23">
        <f t="shared" si="4"/>
        <v>8305642.126</v>
      </c>
      <c r="L481" s="29"/>
      <c r="M481" s="23"/>
    </row>
    <row r="482" ht="15.75" customHeight="1">
      <c r="A482" s="36"/>
      <c r="B482" s="36"/>
      <c r="C482" s="37"/>
      <c r="D482" s="38"/>
      <c r="E482" s="37"/>
      <c r="F482" s="37"/>
      <c r="G482" s="37"/>
      <c r="H482" s="37"/>
      <c r="I482" s="39"/>
      <c r="J482" s="37"/>
      <c r="K482" s="37"/>
      <c r="L482" s="38"/>
      <c r="M482" s="37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2026-07-12T13:53:36Z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